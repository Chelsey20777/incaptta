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REAL TIME\Downloads\"/>
    </mc:Choice>
  </mc:AlternateContent>
  <xr:revisionPtr revIDLastSave="0" documentId="13_ncr:1_{9549201D-F426-458E-94D5-FD6F52C214D8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Extracting General Information " sheetId="1" r:id="rId1"/>
  </sheets>
  <calcPr calcId="191029"/>
</workbook>
</file>

<file path=xl/calcChain.xml><?xml version="1.0" encoding="utf-8"?>
<calcChain xmlns="http://schemas.openxmlformats.org/spreadsheetml/2006/main">
  <c r="C59" i="1" l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<sst xmlns="http://schemas.openxmlformats.org/spreadsheetml/2006/main" count="183" uniqueCount="123">
  <si>
    <t>Category</t>
  </si>
  <si>
    <t>Name</t>
  </si>
  <si>
    <t>SKU</t>
  </si>
  <si>
    <t>In Stock</t>
  </si>
  <si>
    <t>Purchase price</t>
  </si>
  <si>
    <t>Freight &amp; Duty</t>
  </si>
  <si>
    <t>Total Cost</t>
  </si>
  <si>
    <t>Markup %</t>
  </si>
  <si>
    <t>IRD ((Selling Price)</t>
  </si>
  <si>
    <t>PVC CLIMATE CONTROL CURTAINS (FIX &amp;SUPP)</t>
  </si>
  <si>
    <t>20mm RFB CTN (SQQUARE TUBE)</t>
  </si>
  <si>
    <t>254 Pcs</t>
  </si>
  <si>
    <t>WATER SYSTEM INSTALLATIONS</t>
  </si>
  <si>
    <t>25mm ROUND RFB (REINFORCEMENT BAR)</t>
  </si>
  <si>
    <t>485 Pcs</t>
  </si>
  <si>
    <t>30X30 ANGLE IRON 3MM</t>
  </si>
  <si>
    <t>39 Pcs</t>
  </si>
  <si>
    <t>30X30 SQUARE TUBES</t>
  </si>
  <si>
    <t>7 Pcs</t>
  </si>
  <si>
    <t>INSTALLATION CONSUMABLES</t>
  </si>
  <si>
    <t>40x40 ANGLE IRON</t>
  </si>
  <si>
    <t>32 Pcs</t>
  </si>
  <si>
    <t>ALUMINIUM REGULATOR SUPPORT</t>
  </si>
  <si>
    <t>183 Pcs</t>
  </si>
  <si>
    <t>ANTI-ROOST SPRINGS</t>
  </si>
  <si>
    <t>75 Pcs</t>
  </si>
  <si>
    <t>ANTIROOST WIRE</t>
  </si>
  <si>
    <t>2000 M</t>
  </si>
  <si>
    <t>BRAIDED POLYESTER X100M/5mm</t>
  </si>
  <si>
    <t>4700 M</t>
  </si>
  <si>
    <t>BRAIDED POLYESTER 4mm</t>
  </si>
  <si>
    <t>2000 Pcs</t>
  </si>
  <si>
    <t>COACH SCREWS 10mmm (PACK OF 100)</t>
  </si>
  <si>
    <t>12 Pcs</t>
  </si>
  <si>
    <t>COMMISSIONS</t>
  </si>
  <si>
    <t>50 Pcs</t>
  </si>
  <si>
    <t>CONCRETE NAILS</t>
  </si>
  <si>
    <t>20 Pack</t>
  </si>
  <si>
    <t>CROSBY CLAMPS 4MM (BIG)</t>
  </si>
  <si>
    <t>1872 Pcs</t>
  </si>
  <si>
    <t>CROSBY CLAMPS 3MM (SMALL)</t>
  </si>
  <si>
    <t>780 Pcs</t>
  </si>
  <si>
    <t>PAN FEEDERS INSTALLATIONS</t>
  </si>
  <si>
    <t>CROSS AUGER FEED SENSOR</t>
  </si>
  <si>
    <t>2 Pcs</t>
  </si>
  <si>
    <t>CROSS AUGER MOTOR</t>
  </si>
  <si>
    <t>CROSS AUGER END MECHANICAL SWITCH</t>
  </si>
  <si>
    <t>INSTALLATIONS /CONSTRUCTION LOGISTICS</t>
  </si>
  <si>
    <t>CURTAIN STITCHING</t>
  </si>
  <si>
    <t>CUTTING DISCS</t>
  </si>
  <si>
    <t>4 Pcs</t>
  </si>
  <si>
    <t>DOSATRON MEDICATOR + WATER PANEL</t>
  </si>
  <si>
    <t>5 Pcs</t>
  </si>
  <si>
    <t>END PIPE CAPS (ORANGE)</t>
  </si>
  <si>
    <t>552 Pcs</t>
  </si>
  <si>
    <t>FOOD WORKSHOP PREPS</t>
  </si>
  <si>
    <t>GENERATOR FUEL (INSTALLATION/CONSTRUCTION SITE)</t>
  </si>
  <si>
    <t>GREY PVC CURTAIN</t>
  </si>
  <si>
    <t>2888 m²</t>
  </si>
  <si>
    <t>GREY REGULATORS (PLASSON TYPE)</t>
  </si>
  <si>
    <t>54 Pcs</t>
  </si>
  <si>
    <t>HAND WINCH ( FOR CURTAINS)</t>
  </si>
  <si>
    <t>28 Pcs</t>
  </si>
  <si>
    <t>MAIN PULLEYS</t>
  </si>
  <si>
    <t>128 Pcs</t>
  </si>
  <si>
    <t>MASHWIRE 1M</t>
  </si>
  <si>
    <t>4 Roll</t>
  </si>
  <si>
    <t>FOWL RUN CONSTRUCTION</t>
  </si>
  <si>
    <t>MASHWIRE 1.8M</t>
  </si>
  <si>
    <t>11 Roll</t>
  </si>
  <si>
    <t>NIPPLES (WITH CUPS)</t>
  </si>
  <si>
    <t>5622 Pcs</t>
  </si>
  <si>
    <t>NYLON ROPE (50M)</t>
  </si>
  <si>
    <t>10800 Pcs</t>
  </si>
  <si>
    <t>ORANGE END SETS(BREATHERS) FOR REGUALTORS</t>
  </si>
  <si>
    <t>79 Pcs</t>
  </si>
  <si>
    <t>ORANGE REGULATORS</t>
  </si>
  <si>
    <t>ORANGE CODE ADJUSTORS</t>
  </si>
  <si>
    <t>1500 Pcs</t>
  </si>
  <si>
    <t>PIPE CLIPPERS (ORANGE-ROUND)</t>
  </si>
  <si>
    <t>3017 Pcs</t>
  </si>
  <si>
    <t>POWER CONTROL BOX</t>
  </si>
  <si>
    <t>13 Pcs</t>
  </si>
  <si>
    <t>[PVC CLIMATE]</t>
  </si>
  <si>
    <t>PVC PIPES GREY 25mm</t>
  </si>
  <si>
    <t>667 Pcs</t>
  </si>
  <si>
    <t>QD PAINT (FOR RFB PREPS) YELLOW</t>
  </si>
  <si>
    <t>70 Ltrs</t>
  </si>
  <si>
    <t>R6 SUSPENDERS</t>
  </si>
  <si>
    <t>88 Pcs</t>
  </si>
  <si>
    <t>RED PULLEYS 25KG</t>
  </si>
  <si>
    <t>400 Pcs</t>
  </si>
  <si>
    <t>RUBBER</t>
  </si>
  <si>
    <t>4000 Pcs</t>
  </si>
  <si>
    <t>SIBLING GREY PULLEY 6MM</t>
  </si>
  <si>
    <t>1090 Pcs</t>
  </si>
  <si>
    <t>SQUARE TUBE 40x40</t>
  </si>
  <si>
    <t>34 Pcs</t>
  </si>
  <si>
    <t>STAFF FOOD (TRAVEL EXPENSES /SITE VISITS)</t>
  </si>
  <si>
    <t>48 Pcs</t>
  </si>
  <si>
    <t>STAINLEESS STEEL 20KG PULLEYS</t>
  </si>
  <si>
    <t>80 Pcs</t>
  </si>
  <si>
    <t>STANDARD YELLOW CODE ADJUSTERS</t>
  </si>
  <si>
    <t>2107 Pcs</t>
  </si>
  <si>
    <t>TEAM TRANSPORT FROM OFFICE TO HOME</t>
  </si>
  <si>
    <t>50 In</t>
  </si>
  <si>
    <t>THINUS</t>
  </si>
  <si>
    <t>TRANSPORT FROM WORKSHOP TO OFFICE</t>
  </si>
  <si>
    <t>100 Pcs</t>
  </si>
  <si>
    <t>TRANSPORT FOR PROCUREMENT</t>
  </si>
  <si>
    <t>TRANSPORT TO INSTALLATION/CONSTRUCTION SITE</t>
  </si>
  <si>
    <t>U- NAILS</t>
  </si>
  <si>
    <t>18 Pack</t>
  </si>
  <si>
    <t>VERANDA BOLTS</t>
  </si>
  <si>
    <t>26 Kg</t>
  </si>
  <si>
    <t>WATER METER</t>
  </si>
  <si>
    <t>37 Pcs</t>
  </si>
  <si>
    <t>WATER WINCHES</t>
  </si>
  <si>
    <t>66 Pcs</t>
  </si>
  <si>
    <t>WELDING RODS</t>
  </si>
  <si>
    <t>30 Kg</t>
  </si>
  <si>
    <t>WIRE ROPE 3MM</t>
  </si>
  <si>
    <t>4120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</si>
</sst>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xtracting General Information 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9">
  <tableColumns count="9">
    <tableColumn id="1" xr3:uid="{00000000-0010-0000-0000-000001000000}" name="Category"/>
    <tableColumn id="2" xr3:uid="{00000000-0010-0000-0000-000002000000}" name="Name"/>
    <tableColumn id="3" xr3:uid="{00000000-0010-0000-0000-000003000000}" name="SKU"/>
    <tableColumn id="4" xr3:uid="{00000000-0010-0000-0000-000004000000}" name="In Stock"/>
    <tableColumn id="5" xr3:uid="{00000000-0010-0000-0000-000005000000}" name="Purchase price"/>
    <tableColumn id="6" xr3:uid="{00000000-0010-0000-0000-000006000000}" name="Freight &amp; Duty"/>
    <tableColumn id="7" xr3:uid="{00000000-0010-0000-0000-000007000000}" name="Total Cost"/>
    <tableColumn id="8" xr3:uid="{00000000-0010-0000-0000-000008000000}" name="Markup %"/>
    <tableColumn id="9" xr3:uid="{00000000-0010-0000-0000-000009000000}" name="IRD ((Selling Price)"/>
  </tableColumns>
  <tableStyleInfo name="Extracting General Information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topLeftCell="B1" workbookViewId="0">
      <pane ySplit="1" topLeftCell="A2" activePane="bottomLeft" state="frozen"/>
      <selection pane="bottomLeft" activeCell="E4" sqref="E4"/>
    </sheetView>
  </sheetViews>
  <sheetFormatPr defaultColWidth="12.6328125" defaultRowHeight="15.75" customHeight="1"/>
  <cols>
    <col min="1" max="1" width="20.26953125" customWidth="1"/>
    <col min="2" max="2" width="24.26953125" customWidth="1"/>
    <col min="9" max="9" width="23.3632812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22.5" customHeight="1">
      <c r="A2" s="3" t="s">
        <v>9</v>
      </c>
      <c r="B2" s="4" t="s">
        <v>10</v>
      </c>
      <c r="C2" s="4" t="str">
        <f t="shared" ref="C2:C59" si="0">UPPER(LEFT(A2,3))&amp;"-"&amp;TEXT(ROW(C2)-1,"00")</f>
        <v>PVC-01</v>
      </c>
      <c r="D2" s="4" t="s">
        <v>11</v>
      </c>
      <c r="E2" s="5"/>
      <c r="F2" s="5"/>
      <c r="G2" s="5"/>
      <c r="H2" s="5"/>
      <c r="I2" s="5"/>
    </row>
    <row r="3" spans="1:9" ht="22.5" customHeight="1">
      <c r="A3" s="6" t="s">
        <v>12</v>
      </c>
      <c r="B3" s="7" t="s">
        <v>13</v>
      </c>
      <c r="C3" s="7" t="str">
        <f t="shared" si="0"/>
        <v>WAT-02</v>
      </c>
      <c r="D3" s="7" t="s">
        <v>14</v>
      </c>
      <c r="E3" s="8"/>
      <c r="F3" s="8"/>
      <c r="G3" s="8"/>
      <c r="H3" s="8"/>
      <c r="I3" s="8"/>
    </row>
    <row r="4" spans="1:9" ht="22.5" customHeight="1">
      <c r="A4" s="9" t="s">
        <v>12</v>
      </c>
      <c r="B4" s="4" t="s">
        <v>15</v>
      </c>
      <c r="C4" s="4" t="str">
        <f t="shared" si="0"/>
        <v>WAT-03</v>
      </c>
      <c r="D4" s="4" t="s">
        <v>16</v>
      </c>
      <c r="E4" s="5"/>
      <c r="F4" s="5"/>
      <c r="G4" s="5"/>
      <c r="H4" s="5"/>
      <c r="I4" s="5"/>
    </row>
    <row r="5" spans="1:9" ht="22.5" customHeight="1">
      <c r="A5" s="6" t="s">
        <v>12</v>
      </c>
      <c r="B5" s="7" t="s">
        <v>17</v>
      </c>
      <c r="C5" s="7" t="str">
        <f t="shared" si="0"/>
        <v>WAT-04</v>
      </c>
      <c r="D5" s="7" t="s">
        <v>18</v>
      </c>
      <c r="E5" s="8"/>
      <c r="F5" s="8"/>
      <c r="G5" s="8"/>
      <c r="H5" s="8"/>
      <c r="I5" s="8"/>
    </row>
    <row r="6" spans="1:9" ht="22.5" customHeight="1">
      <c r="A6" s="9" t="s">
        <v>19</v>
      </c>
      <c r="B6" s="4" t="s">
        <v>20</v>
      </c>
      <c r="C6" s="4" t="str">
        <f t="shared" si="0"/>
        <v>INS-05</v>
      </c>
      <c r="D6" s="4" t="s">
        <v>21</v>
      </c>
      <c r="E6" s="5"/>
      <c r="F6" s="5"/>
      <c r="G6" s="5"/>
      <c r="H6" s="5"/>
      <c r="I6" s="5"/>
    </row>
    <row r="7" spans="1:9" ht="22.5" customHeight="1">
      <c r="A7" s="6" t="s">
        <v>12</v>
      </c>
      <c r="B7" s="7" t="s">
        <v>22</v>
      </c>
      <c r="C7" s="7" t="str">
        <f t="shared" si="0"/>
        <v>WAT-06</v>
      </c>
      <c r="D7" s="7" t="s">
        <v>23</v>
      </c>
      <c r="E7" s="8"/>
      <c r="F7" s="8"/>
      <c r="G7" s="8"/>
      <c r="H7" s="8"/>
      <c r="I7" s="8"/>
    </row>
    <row r="8" spans="1:9" ht="22.5" customHeight="1">
      <c r="A8" s="9" t="s">
        <v>12</v>
      </c>
      <c r="B8" s="4" t="s">
        <v>24</v>
      </c>
      <c r="C8" s="4" t="str">
        <f t="shared" si="0"/>
        <v>WAT-07</v>
      </c>
      <c r="D8" s="4" t="s">
        <v>25</v>
      </c>
      <c r="E8" s="5"/>
      <c r="F8" s="5"/>
      <c r="G8" s="5"/>
      <c r="H8" s="5"/>
      <c r="I8" s="5"/>
    </row>
    <row r="9" spans="1:9" ht="22.5" customHeight="1">
      <c r="A9" s="6" t="s">
        <v>12</v>
      </c>
      <c r="B9" s="7" t="s">
        <v>26</v>
      </c>
      <c r="C9" s="7" t="str">
        <f t="shared" si="0"/>
        <v>WAT-08</v>
      </c>
      <c r="D9" s="7" t="s">
        <v>27</v>
      </c>
      <c r="E9" s="8"/>
      <c r="F9" s="8"/>
      <c r="G9" s="8"/>
      <c r="H9" s="8"/>
      <c r="I9" s="8"/>
    </row>
    <row r="10" spans="1:9" ht="22.5" customHeight="1">
      <c r="A10" s="9" t="s">
        <v>9</v>
      </c>
      <c r="B10" s="4" t="s">
        <v>28</v>
      </c>
      <c r="C10" s="4" t="str">
        <f t="shared" si="0"/>
        <v>PVC-09</v>
      </c>
      <c r="D10" s="4" t="s">
        <v>29</v>
      </c>
      <c r="E10" s="5"/>
      <c r="F10" s="5"/>
      <c r="G10" s="5"/>
      <c r="H10" s="5"/>
      <c r="I10" s="5"/>
    </row>
    <row r="11" spans="1:9" ht="22.5" customHeight="1">
      <c r="A11" s="6" t="s">
        <v>9</v>
      </c>
      <c r="B11" s="7" t="s">
        <v>30</v>
      </c>
      <c r="C11" s="7" t="str">
        <f t="shared" si="0"/>
        <v>PVC-10</v>
      </c>
      <c r="D11" s="7" t="s">
        <v>31</v>
      </c>
      <c r="E11" s="8"/>
      <c r="F11" s="8"/>
      <c r="G11" s="8"/>
      <c r="H11" s="8"/>
      <c r="I11" s="8"/>
    </row>
    <row r="12" spans="1:9" ht="22.5" customHeight="1">
      <c r="A12" s="9" t="s">
        <v>12</v>
      </c>
      <c r="B12" s="4" t="s">
        <v>32</v>
      </c>
      <c r="C12" s="4" t="str">
        <f t="shared" si="0"/>
        <v>WAT-11</v>
      </c>
      <c r="D12" s="4" t="s">
        <v>33</v>
      </c>
      <c r="E12" s="5"/>
      <c r="F12" s="5"/>
      <c r="G12" s="5"/>
      <c r="H12" s="5"/>
      <c r="I12" s="5"/>
    </row>
    <row r="13" spans="1:9" ht="22.5" customHeight="1">
      <c r="A13" s="6" t="s">
        <v>12</v>
      </c>
      <c r="B13" s="7" t="s">
        <v>34</v>
      </c>
      <c r="C13" s="7" t="str">
        <f t="shared" si="0"/>
        <v>WAT-12</v>
      </c>
      <c r="D13" s="7" t="s">
        <v>35</v>
      </c>
      <c r="E13" s="8"/>
      <c r="F13" s="8"/>
      <c r="G13" s="8"/>
      <c r="H13" s="8"/>
      <c r="I13" s="8"/>
    </row>
    <row r="14" spans="1:9" ht="22.5" customHeight="1">
      <c r="A14" s="9" t="s">
        <v>19</v>
      </c>
      <c r="B14" s="4" t="s">
        <v>36</v>
      </c>
      <c r="C14" s="4" t="str">
        <f t="shared" si="0"/>
        <v>INS-13</v>
      </c>
      <c r="D14" s="4" t="s">
        <v>37</v>
      </c>
      <c r="E14" s="5"/>
      <c r="F14" s="5"/>
      <c r="G14" s="5"/>
      <c r="H14" s="5"/>
      <c r="I14" s="5"/>
    </row>
    <row r="15" spans="1:9" ht="22.5" customHeight="1">
      <c r="A15" s="10" t="s">
        <v>12</v>
      </c>
      <c r="B15" s="7" t="s">
        <v>38</v>
      </c>
      <c r="C15" s="7" t="str">
        <f t="shared" si="0"/>
        <v>WAT-14</v>
      </c>
      <c r="D15" s="7" t="s">
        <v>39</v>
      </c>
      <c r="E15" s="8"/>
      <c r="F15" s="8"/>
      <c r="G15" s="8"/>
      <c r="H15" s="8"/>
      <c r="I15" s="8"/>
    </row>
    <row r="16" spans="1:9" ht="22.5" customHeight="1">
      <c r="A16" s="3" t="s">
        <v>12</v>
      </c>
      <c r="B16" s="4" t="s">
        <v>40</v>
      </c>
      <c r="C16" s="4" t="str">
        <f t="shared" si="0"/>
        <v>WAT-15</v>
      </c>
      <c r="D16" s="4" t="s">
        <v>41</v>
      </c>
      <c r="E16" s="5"/>
      <c r="F16" s="5"/>
      <c r="G16" s="5"/>
      <c r="H16" s="5"/>
      <c r="I16" s="5"/>
    </row>
    <row r="17" spans="1:9" ht="22.5" customHeight="1">
      <c r="A17" s="10" t="s">
        <v>42</v>
      </c>
      <c r="B17" s="7" t="s">
        <v>43</v>
      </c>
      <c r="C17" s="7" t="str">
        <f t="shared" si="0"/>
        <v>PAN-16</v>
      </c>
      <c r="D17" s="7" t="s">
        <v>44</v>
      </c>
      <c r="E17" s="8"/>
      <c r="F17" s="8"/>
      <c r="G17" s="8"/>
      <c r="H17" s="8"/>
      <c r="I17" s="8"/>
    </row>
    <row r="18" spans="1:9" ht="22.5" customHeight="1">
      <c r="A18" s="3" t="s">
        <v>42</v>
      </c>
      <c r="B18" s="4" t="s">
        <v>45</v>
      </c>
      <c r="C18" s="4" t="str">
        <f t="shared" si="0"/>
        <v>PAN-17</v>
      </c>
      <c r="D18" s="4" t="s">
        <v>44</v>
      </c>
      <c r="E18" s="5"/>
      <c r="F18" s="5"/>
      <c r="G18" s="5"/>
      <c r="H18" s="5"/>
      <c r="I18" s="5"/>
    </row>
    <row r="19" spans="1:9" ht="22.5" customHeight="1">
      <c r="A19" s="10" t="s">
        <v>42</v>
      </c>
      <c r="B19" s="7" t="s">
        <v>46</v>
      </c>
      <c r="C19" s="7" t="str">
        <f t="shared" si="0"/>
        <v>PAN-18</v>
      </c>
      <c r="D19" s="7" t="s">
        <v>44</v>
      </c>
      <c r="E19" s="8"/>
      <c r="F19" s="8"/>
      <c r="G19" s="8"/>
      <c r="H19" s="8"/>
      <c r="I19" s="8"/>
    </row>
    <row r="20" spans="1:9" ht="22.5" customHeight="1">
      <c r="A20" s="3" t="s">
        <v>47</v>
      </c>
      <c r="B20" s="4" t="s">
        <v>48</v>
      </c>
      <c r="C20" s="4" t="str">
        <f t="shared" si="0"/>
        <v>INS-19</v>
      </c>
      <c r="D20" s="4" t="s">
        <v>35</v>
      </c>
      <c r="E20" s="5"/>
      <c r="F20" s="5"/>
      <c r="G20" s="5"/>
      <c r="H20" s="5"/>
      <c r="I20" s="5"/>
    </row>
    <row r="21" spans="1:9" ht="22.5" customHeight="1">
      <c r="A21" s="10" t="s">
        <v>19</v>
      </c>
      <c r="B21" s="7" t="s">
        <v>49</v>
      </c>
      <c r="C21" s="7" t="str">
        <f t="shared" si="0"/>
        <v>INS-20</v>
      </c>
      <c r="D21" s="7" t="s">
        <v>50</v>
      </c>
      <c r="E21" s="8"/>
      <c r="F21" s="8"/>
      <c r="G21" s="8"/>
      <c r="H21" s="8"/>
      <c r="I21" s="8"/>
    </row>
    <row r="22" spans="1:9" ht="22.5" customHeight="1">
      <c r="A22" s="3" t="s">
        <v>12</v>
      </c>
      <c r="B22" s="4" t="s">
        <v>51</v>
      </c>
      <c r="C22" s="4" t="str">
        <f t="shared" si="0"/>
        <v>WAT-21</v>
      </c>
      <c r="D22" s="4" t="s">
        <v>52</v>
      </c>
      <c r="E22" s="5"/>
      <c r="F22" s="5"/>
      <c r="G22" s="5"/>
      <c r="H22" s="5"/>
      <c r="I22" s="5"/>
    </row>
    <row r="23" spans="1:9" ht="22.5" customHeight="1">
      <c r="A23" s="10" t="s">
        <v>12</v>
      </c>
      <c r="B23" s="7" t="s">
        <v>53</v>
      </c>
      <c r="C23" s="7" t="str">
        <f t="shared" si="0"/>
        <v>WAT-22</v>
      </c>
      <c r="D23" s="7" t="s">
        <v>54</v>
      </c>
      <c r="E23" s="8"/>
      <c r="F23" s="8"/>
      <c r="G23" s="8"/>
      <c r="H23" s="8"/>
      <c r="I23" s="8"/>
    </row>
    <row r="24" spans="1:9" ht="22.5" customHeight="1">
      <c r="A24" s="3" t="s">
        <v>47</v>
      </c>
      <c r="B24" s="4" t="s">
        <v>55</v>
      </c>
      <c r="C24" s="4" t="str">
        <f t="shared" si="0"/>
        <v>INS-23</v>
      </c>
      <c r="D24" s="4" t="s">
        <v>35</v>
      </c>
      <c r="E24" s="5"/>
      <c r="F24" s="5"/>
      <c r="G24" s="5"/>
      <c r="H24" s="5"/>
      <c r="I24" s="5"/>
    </row>
    <row r="25" spans="1:9" ht="22.5" customHeight="1">
      <c r="A25" s="10" t="s">
        <v>19</v>
      </c>
      <c r="B25" s="7" t="s">
        <v>56</v>
      </c>
      <c r="C25" s="7" t="str">
        <f t="shared" si="0"/>
        <v>INS-24</v>
      </c>
      <c r="D25" s="7" t="s">
        <v>35</v>
      </c>
      <c r="E25" s="8"/>
      <c r="F25" s="8"/>
      <c r="G25" s="8"/>
      <c r="H25" s="8"/>
      <c r="I25" s="8"/>
    </row>
    <row r="26" spans="1:9" ht="22.5" customHeight="1">
      <c r="A26" s="3" t="s">
        <v>9</v>
      </c>
      <c r="B26" s="4" t="s">
        <v>57</v>
      </c>
      <c r="C26" s="4" t="str">
        <f t="shared" si="0"/>
        <v>PVC-25</v>
      </c>
      <c r="D26" s="4" t="s">
        <v>58</v>
      </c>
      <c r="E26" s="5"/>
      <c r="F26" s="5"/>
      <c r="G26" s="5"/>
      <c r="H26" s="5"/>
      <c r="I26" s="5"/>
    </row>
    <row r="27" spans="1:9" ht="22.5" customHeight="1">
      <c r="A27" s="10" t="s">
        <v>12</v>
      </c>
      <c r="B27" s="7" t="s">
        <v>59</v>
      </c>
      <c r="C27" s="7" t="str">
        <f t="shared" si="0"/>
        <v>WAT-26</v>
      </c>
      <c r="D27" s="7" t="s">
        <v>60</v>
      </c>
      <c r="E27" s="8"/>
      <c r="F27" s="8"/>
      <c r="G27" s="8"/>
      <c r="H27" s="8"/>
      <c r="I27" s="8"/>
    </row>
    <row r="28" spans="1:9" ht="22.5" customHeight="1">
      <c r="A28" s="3" t="s">
        <v>9</v>
      </c>
      <c r="B28" s="4" t="s">
        <v>61</v>
      </c>
      <c r="C28" s="4" t="str">
        <f t="shared" si="0"/>
        <v>PVC-27</v>
      </c>
      <c r="D28" s="4" t="s">
        <v>62</v>
      </c>
      <c r="E28" s="5"/>
      <c r="F28" s="5"/>
      <c r="G28" s="5"/>
      <c r="H28" s="5"/>
      <c r="I28" s="5"/>
    </row>
    <row r="29" spans="1:9" ht="22.5" customHeight="1">
      <c r="A29" s="10" t="s">
        <v>12</v>
      </c>
      <c r="B29" s="7" t="s">
        <v>63</v>
      </c>
      <c r="C29" s="7" t="str">
        <f t="shared" si="0"/>
        <v>WAT-28</v>
      </c>
      <c r="D29" s="7" t="s">
        <v>64</v>
      </c>
      <c r="E29" s="8"/>
      <c r="F29" s="8"/>
      <c r="G29" s="8"/>
      <c r="H29" s="8"/>
      <c r="I29" s="8"/>
    </row>
    <row r="30" spans="1:9" ht="22.5" customHeight="1">
      <c r="A30" s="3" t="s">
        <v>47</v>
      </c>
      <c r="B30" s="4" t="s">
        <v>65</v>
      </c>
      <c r="C30" s="4" t="str">
        <f t="shared" si="0"/>
        <v>INS-29</v>
      </c>
      <c r="D30" s="4" t="s">
        <v>66</v>
      </c>
      <c r="E30" s="5"/>
      <c r="F30" s="5"/>
      <c r="G30" s="5"/>
      <c r="H30" s="5"/>
      <c r="I30" s="5"/>
    </row>
    <row r="31" spans="1:9" ht="22.5" customHeight="1">
      <c r="A31" s="10" t="s">
        <v>67</v>
      </c>
      <c r="B31" s="7" t="s">
        <v>68</v>
      </c>
      <c r="C31" s="7" t="str">
        <f t="shared" si="0"/>
        <v>FOW-30</v>
      </c>
      <c r="D31" s="7" t="s">
        <v>69</v>
      </c>
      <c r="E31" s="8"/>
      <c r="F31" s="8"/>
      <c r="G31" s="8"/>
      <c r="H31" s="8"/>
      <c r="I31" s="8"/>
    </row>
    <row r="32" spans="1:9" ht="22.5" customHeight="1">
      <c r="A32" s="3" t="s">
        <v>12</v>
      </c>
      <c r="B32" s="4" t="s">
        <v>70</v>
      </c>
      <c r="C32" s="4" t="str">
        <f t="shared" si="0"/>
        <v>WAT-31</v>
      </c>
      <c r="D32" s="4" t="s">
        <v>71</v>
      </c>
      <c r="E32" s="5"/>
      <c r="F32" s="5"/>
      <c r="G32" s="5"/>
      <c r="H32" s="5"/>
      <c r="I32" s="5"/>
    </row>
    <row r="33" spans="1:9" ht="22.5" customHeight="1">
      <c r="A33" s="10" t="s">
        <v>12</v>
      </c>
      <c r="B33" s="7" t="s">
        <v>72</v>
      </c>
      <c r="C33" s="7" t="str">
        <f t="shared" si="0"/>
        <v>WAT-32</v>
      </c>
      <c r="D33" s="7" t="s">
        <v>73</v>
      </c>
      <c r="E33" s="8"/>
      <c r="F33" s="8"/>
      <c r="G33" s="8"/>
      <c r="H33" s="8"/>
      <c r="I33" s="8"/>
    </row>
    <row r="34" spans="1:9" ht="22.5" customHeight="1">
      <c r="A34" s="3" t="s">
        <v>12</v>
      </c>
      <c r="B34" s="4" t="s">
        <v>74</v>
      </c>
      <c r="C34" s="4" t="str">
        <f t="shared" si="0"/>
        <v>WAT-33</v>
      </c>
      <c r="D34" s="4" t="s">
        <v>75</v>
      </c>
      <c r="E34" s="5"/>
      <c r="F34" s="5"/>
      <c r="G34" s="5"/>
      <c r="H34" s="5"/>
      <c r="I34" s="5"/>
    </row>
    <row r="35" spans="1:9" ht="22.5" customHeight="1">
      <c r="A35" s="10" t="s">
        <v>12</v>
      </c>
      <c r="B35" s="7" t="s">
        <v>76</v>
      </c>
      <c r="C35" s="7" t="str">
        <f t="shared" si="0"/>
        <v>WAT-34</v>
      </c>
      <c r="D35" s="7" t="s">
        <v>18</v>
      </c>
      <c r="E35" s="8"/>
      <c r="F35" s="8"/>
      <c r="G35" s="8"/>
      <c r="H35" s="8"/>
      <c r="I35" s="8"/>
    </row>
    <row r="36" spans="1:9" ht="22.5" customHeight="1">
      <c r="A36" s="3" t="s">
        <v>12</v>
      </c>
      <c r="B36" s="4" t="s">
        <v>77</v>
      </c>
      <c r="C36" s="4" t="str">
        <f t="shared" si="0"/>
        <v>WAT-35</v>
      </c>
      <c r="D36" s="4" t="s">
        <v>78</v>
      </c>
      <c r="E36" s="5"/>
      <c r="F36" s="5"/>
      <c r="G36" s="5"/>
      <c r="H36" s="5"/>
      <c r="I36" s="5"/>
    </row>
    <row r="37" spans="1:9" ht="22.5" customHeight="1">
      <c r="A37" s="10" t="s">
        <v>12</v>
      </c>
      <c r="B37" s="7" t="s">
        <v>79</v>
      </c>
      <c r="C37" s="7" t="str">
        <f t="shared" si="0"/>
        <v>WAT-36</v>
      </c>
      <c r="D37" s="7" t="s">
        <v>80</v>
      </c>
      <c r="E37" s="8"/>
      <c r="F37" s="8"/>
      <c r="G37" s="8"/>
      <c r="H37" s="8"/>
      <c r="I37" s="8"/>
    </row>
    <row r="38" spans="1:9" ht="22.5" customHeight="1">
      <c r="A38" s="3" t="s">
        <v>42</v>
      </c>
      <c r="B38" s="4" t="s">
        <v>81</v>
      </c>
      <c r="C38" s="4" t="str">
        <f t="shared" si="0"/>
        <v>PAN-37</v>
      </c>
      <c r="D38" s="4" t="s">
        <v>82</v>
      </c>
      <c r="E38" s="5"/>
      <c r="F38" s="5"/>
      <c r="G38" s="5"/>
      <c r="H38" s="5"/>
      <c r="I38" s="5"/>
    </row>
    <row r="39" spans="1:9" ht="22.5" customHeight="1">
      <c r="A39" s="10" t="s">
        <v>83</v>
      </c>
      <c r="B39" s="7" t="s">
        <v>84</v>
      </c>
      <c r="C39" s="7" t="str">
        <f t="shared" si="0"/>
        <v>[PV-38</v>
      </c>
      <c r="D39" s="7" t="s">
        <v>85</v>
      </c>
      <c r="E39" s="8"/>
      <c r="F39" s="8"/>
      <c r="G39" s="8"/>
      <c r="H39" s="8"/>
      <c r="I39" s="8"/>
    </row>
    <row r="40" spans="1:9" ht="22.5" customHeight="1">
      <c r="A40" s="3" t="s">
        <v>12</v>
      </c>
      <c r="B40" s="4" t="s">
        <v>86</v>
      </c>
      <c r="C40" s="4" t="str">
        <f t="shared" si="0"/>
        <v>WAT-39</v>
      </c>
      <c r="D40" s="4" t="s">
        <v>87</v>
      </c>
      <c r="E40" s="5"/>
      <c r="F40" s="5"/>
      <c r="G40" s="5"/>
      <c r="H40" s="5"/>
      <c r="I40" s="5"/>
    </row>
    <row r="41" spans="1:9" ht="22.5" customHeight="1">
      <c r="A41" s="10" t="s">
        <v>12</v>
      </c>
      <c r="B41" s="7" t="s">
        <v>88</v>
      </c>
      <c r="C41" s="7" t="str">
        <f t="shared" si="0"/>
        <v>WAT-40</v>
      </c>
      <c r="D41" s="7" t="s">
        <v>89</v>
      </c>
      <c r="E41" s="8"/>
      <c r="F41" s="8"/>
      <c r="G41" s="8"/>
      <c r="H41" s="8"/>
      <c r="I41" s="8"/>
    </row>
    <row r="42" spans="1:9" ht="22.5" customHeight="1">
      <c r="A42" s="3" t="s">
        <v>9</v>
      </c>
      <c r="B42" s="4" t="s">
        <v>90</v>
      </c>
      <c r="C42" s="4" t="str">
        <f t="shared" si="0"/>
        <v>PVC-41</v>
      </c>
      <c r="D42" s="4" t="s">
        <v>91</v>
      </c>
      <c r="E42" s="5"/>
      <c r="F42" s="5"/>
      <c r="G42" s="5"/>
      <c r="H42" s="5"/>
      <c r="I42" s="5"/>
    </row>
    <row r="43" spans="1:9" ht="22.5" customHeight="1">
      <c r="A43" s="10" t="s">
        <v>12</v>
      </c>
      <c r="B43" s="7" t="s">
        <v>92</v>
      </c>
      <c r="C43" s="7" t="str">
        <f t="shared" si="0"/>
        <v>WAT-42</v>
      </c>
      <c r="D43" s="7" t="s">
        <v>93</v>
      </c>
      <c r="E43" s="8"/>
      <c r="F43" s="8"/>
      <c r="G43" s="8"/>
      <c r="H43" s="8"/>
      <c r="I43" s="8"/>
    </row>
    <row r="44" spans="1:9" ht="22.5" customHeight="1">
      <c r="A44" s="3" t="s">
        <v>12</v>
      </c>
      <c r="B44" s="4" t="s">
        <v>94</v>
      </c>
      <c r="C44" s="4" t="str">
        <f t="shared" si="0"/>
        <v>WAT-43</v>
      </c>
      <c r="D44" s="4" t="s">
        <v>95</v>
      </c>
      <c r="E44" s="5"/>
      <c r="F44" s="5"/>
      <c r="G44" s="5"/>
      <c r="H44" s="5"/>
      <c r="I44" s="5"/>
    </row>
    <row r="45" spans="1:9" ht="22.5" customHeight="1">
      <c r="A45" s="10" t="s">
        <v>12</v>
      </c>
      <c r="B45" s="7" t="s">
        <v>96</v>
      </c>
      <c r="C45" s="7" t="str">
        <f t="shared" si="0"/>
        <v>WAT-44</v>
      </c>
      <c r="D45" s="7" t="s">
        <v>97</v>
      </c>
      <c r="E45" s="8"/>
      <c r="F45" s="8"/>
      <c r="G45" s="8"/>
      <c r="H45" s="8"/>
      <c r="I45" s="8"/>
    </row>
    <row r="46" spans="1:9" ht="22.5" customHeight="1">
      <c r="A46" s="3" t="s">
        <v>19</v>
      </c>
      <c r="B46" s="4" t="s">
        <v>98</v>
      </c>
      <c r="C46" s="4" t="str">
        <f t="shared" si="0"/>
        <v>INS-45</v>
      </c>
      <c r="D46" s="4" t="s">
        <v>99</v>
      </c>
      <c r="E46" s="5"/>
      <c r="F46" s="5"/>
      <c r="G46" s="5"/>
      <c r="H46" s="5"/>
      <c r="I46" s="5"/>
    </row>
    <row r="47" spans="1:9" ht="22.5" customHeight="1">
      <c r="A47" s="10" t="s">
        <v>9</v>
      </c>
      <c r="B47" s="7" t="s">
        <v>100</v>
      </c>
      <c r="C47" s="7" t="str">
        <f t="shared" si="0"/>
        <v>PVC-46</v>
      </c>
      <c r="D47" s="7" t="s">
        <v>101</v>
      </c>
      <c r="E47" s="8"/>
      <c r="F47" s="8"/>
      <c r="G47" s="8"/>
      <c r="H47" s="8"/>
      <c r="I47" s="8"/>
    </row>
    <row r="48" spans="1:9" ht="22.5" customHeight="1">
      <c r="A48" s="3" t="s">
        <v>12</v>
      </c>
      <c r="B48" s="4" t="s">
        <v>102</v>
      </c>
      <c r="C48" s="4" t="str">
        <f t="shared" si="0"/>
        <v>WAT-47</v>
      </c>
      <c r="D48" s="4" t="s">
        <v>103</v>
      </c>
      <c r="E48" s="5"/>
      <c r="F48" s="5"/>
      <c r="G48" s="5"/>
      <c r="H48" s="5"/>
      <c r="I48" s="5"/>
    </row>
    <row r="49" spans="1:9" ht="22.5" customHeight="1">
      <c r="A49" s="10" t="s">
        <v>47</v>
      </c>
      <c r="B49" s="7" t="s">
        <v>104</v>
      </c>
      <c r="C49" s="7" t="str">
        <f t="shared" si="0"/>
        <v>INS-48</v>
      </c>
      <c r="D49" s="7" t="s">
        <v>105</v>
      </c>
      <c r="E49" s="8"/>
      <c r="F49" s="8"/>
      <c r="G49" s="8"/>
      <c r="H49" s="8"/>
      <c r="I49" s="8"/>
    </row>
    <row r="50" spans="1:9" ht="22.5" customHeight="1">
      <c r="A50" s="3" t="s">
        <v>12</v>
      </c>
      <c r="B50" s="4" t="s">
        <v>106</v>
      </c>
      <c r="C50" s="4" t="str">
        <f t="shared" si="0"/>
        <v>WAT-49</v>
      </c>
      <c r="D50" s="4" t="s">
        <v>21</v>
      </c>
      <c r="E50" s="5"/>
      <c r="F50" s="5"/>
      <c r="G50" s="5"/>
      <c r="H50" s="5"/>
      <c r="I50" s="5"/>
    </row>
    <row r="51" spans="1:9" ht="22.5" customHeight="1">
      <c r="A51" s="10" t="s">
        <v>47</v>
      </c>
      <c r="B51" s="7" t="s">
        <v>107</v>
      </c>
      <c r="C51" s="7" t="str">
        <f t="shared" si="0"/>
        <v>INS-50</v>
      </c>
      <c r="D51" s="7" t="s">
        <v>108</v>
      </c>
      <c r="E51" s="8"/>
      <c r="F51" s="8"/>
      <c r="G51" s="8"/>
      <c r="H51" s="8"/>
      <c r="I51" s="8"/>
    </row>
    <row r="52" spans="1:9" ht="22.5" customHeight="1">
      <c r="A52" s="3" t="s">
        <v>47</v>
      </c>
      <c r="B52" s="4" t="s">
        <v>109</v>
      </c>
      <c r="C52" s="4" t="str">
        <f t="shared" si="0"/>
        <v>INS-51</v>
      </c>
      <c r="D52" s="4" t="s">
        <v>105</v>
      </c>
      <c r="E52" s="5"/>
      <c r="F52" s="5"/>
      <c r="G52" s="5"/>
      <c r="H52" s="5"/>
      <c r="I52" s="5"/>
    </row>
    <row r="53" spans="1:9" ht="22.5" customHeight="1">
      <c r="A53" s="10" t="s">
        <v>47</v>
      </c>
      <c r="B53" s="7" t="s">
        <v>110</v>
      </c>
      <c r="C53" s="7" t="str">
        <f t="shared" si="0"/>
        <v>INS-52</v>
      </c>
      <c r="D53" s="7" t="s">
        <v>105</v>
      </c>
      <c r="E53" s="8"/>
      <c r="F53" s="8"/>
      <c r="G53" s="8"/>
      <c r="H53" s="8"/>
      <c r="I53" s="8"/>
    </row>
    <row r="54" spans="1:9" ht="22.5" customHeight="1">
      <c r="A54" s="3" t="s">
        <v>19</v>
      </c>
      <c r="B54" s="4" t="s">
        <v>111</v>
      </c>
      <c r="C54" s="4" t="str">
        <f t="shared" si="0"/>
        <v>INS-53</v>
      </c>
      <c r="D54" s="4" t="s">
        <v>112</v>
      </c>
      <c r="E54" s="5"/>
      <c r="F54" s="5"/>
      <c r="G54" s="5"/>
      <c r="H54" s="5"/>
      <c r="I54" s="5"/>
    </row>
    <row r="55" spans="1:9" ht="22.5" customHeight="1">
      <c r="A55" s="10" t="s">
        <v>12</v>
      </c>
      <c r="B55" s="7" t="s">
        <v>113</v>
      </c>
      <c r="C55" s="7" t="str">
        <f t="shared" si="0"/>
        <v>WAT-54</v>
      </c>
      <c r="D55" s="7" t="s">
        <v>114</v>
      </c>
      <c r="E55" s="8"/>
      <c r="F55" s="8"/>
      <c r="G55" s="8"/>
      <c r="H55" s="8"/>
      <c r="I55" s="8"/>
    </row>
    <row r="56" spans="1:9" ht="22.5" customHeight="1">
      <c r="A56" s="3" t="s">
        <v>12</v>
      </c>
      <c r="B56" s="4" t="s">
        <v>115</v>
      </c>
      <c r="C56" s="4" t="str">
        <f t="shared" si="0"/>
        <v>WAT-55</v>
      </c>
      <c r="D56" s="4" t="s">
        <v>116</v>
      </c>
      <c r="E56" s="5"/>
      <c r="F56" s="5"/>
      <c r="G56" s="5"/>
      <c r="H56" s="5"/>
      <c r="I56" s="5"/>
    </row>
    <row r="57" spans="1:9" ht="22.5" customHeight="1">
      <c r="A57" s="10" t="s">
        <v>12</v>
      </c>
      <c r="B57" s="7" t="s">
        <v>117</v>
      </c>
      <c r="C57" s="7" t="str">
        <f t="shared" si="0"/>
        <v>WAT-56</v>
      </c>
      <c r="D57" s="7" t="s">
        <v>118</v>
      </c>
      <c r="E57" s="8"/>
      <c r="F57" s="8"/>
      <c r="G57" s="8"/>
      <c r="H57" s="8"/>
      <c r="I57" s="8"/>
    </row>
    <row r="58" spans="1:9" ht="22.5" customHeight="1">
      <c r="A58" s="3" t="s">
        <v>12</v>
      </c>
      <c r="B58" s="4" t="s">
        <v>119</v>
      </c>
      <c r="C58" s="4" t="str">
        <f t="shared" si="0"/>
        <v>WAT-57</v>
      </c>
      <c r="D58" s="4" t="s">
        <v>120</v>
      </c>
      <c r="E58" s="5"/>
      <c r="F58" s="5"/>
      <c r="G58" s="5"/>
      <c r="H58" s="5"/>
      <c r="I58" s="5"/>
    </row>
    <row r="59" spans="1:9" ht="22.5" customHeight="1">
      <c r="A59" s="11" t="s">
        <v>47</v>
      </c>
      <c r="B59" s="12" t="s">
        <v>121</v>
      </c>
      <c r="C59" s="12" t="str">
        <f t="shared" si="0"/>
        <v>INS-58</v>
      </c>
      <c r="D59" s="12" t="s">
        <v>122</v>
      </c>
      <c r="E59" s="13"/>
      <c r="F59" s="13"/>
      <c r="G59" s="13"/>
      <c r="H59" s="13"/>
      <c r="I59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Extracting General Information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 TIME</cp:lastModifiedBy>
  <dcterms:modified xsi:type="dcterms:W3CDTF">2026-02-18T22:22:20Z</dcterms:modified>
</cp:coreProperties>
</file>