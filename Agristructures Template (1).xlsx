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bek\Documents\Incaptta\Random\"/>
    </mc:Choice>
  </mc:AlternateContent>
  <xr:revisionPtr revIDLastSave="0" documentId="13_ncr:1_{53A6FCD9-A8BC-4244-846F-545518B35F42}" xr6:coauthVersionLast="47" xr6:coauthVersionMax="47" xr10:uidLastSave="{00000000-0000-0000-0000-000000000000}"/>
  <bookViews>
    <workbookView xWindow="-110" yWindow="-110" windowWidth="19420" windowHeight="11500" firstSheet="1" activeTab="7" xr2:uid="{C76D4A68-34E2-4183-9767-E12B17EDBF2D}"/>
  </bookViews>
  <sheets>
    <sheet name="126x14m" sheetId="1" r:id="rId1"/>
    <sheet name="126x12m" sheetId="2" r:id="rId2"/>
    <sheet name="100x12m" sheetId="3" r:id="rId3"/>
    <sheet name="100x10m" sheetId="13" r:id="rId4"/>
    <sheet name="80x10m" sheetId="5" r:id="rId5"/>
    <sheet name="60x10m" sheetId="6" r:id="rId6"/>
    <sheet name="50x10m" sheetId="7" r:id="rId7"/>
    <sheet name="40x10m" sheetId="8" r:id="rId8"/>
    <sheet name="30x10m" sheetId="9" r:id="rId9"/>
    <sheet name="25x10m" sheetId="10" r:id="rId10"/>
    <sheet name="20x10m" sheetId="11" r:id="rId11"/>
    <sheet name="10x10m" sheetId="12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27" i="7" l="1"/>
  <c r="F2" i="7"/>
  <c r="F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8" i="7" l="1"/>
  <c r="F3" i="13" l="1"/>
  <c r="F4" i="13"/>
  <c r="F5" i="13"/>
  <c r="F6" i="13"/>
  <c r="F7" i="13"/>
  <c r="F8" i="13"/>
  <c r="F9" i="13"/>
  <c r="F10" i="13"/>
  <c r="F11" i="13"/>
  <c r="F12" i="13"/>
  <c r="F13" i="13"/>
  <c r="F14" i="13"/>
  <c r="F15" i="13"/>
  <c r="F16" i="13"/>
  <c r="F17" i="13"/>
  <c r="F18" i="13"/>
  <c r="F19" i="13"/>
  <c r="F20" i="13"/>
  <c r="F21" i="13"/>
  <c r="F22" i="13"/>
  <c r="F23" i="13"/>
  <c r="F24" i="13"/>
  <c r="F25" i="13"/>
  <c r="F26" i="13"/>
  <c r="F27" i="13"/>
  <c r="F2" i="13"/>
  <c r="F27" i="12"/>
  <c r="F26" i="12"/>
  <c r="F25" i="12"/>
  <c r="F24" i="12"/>
  <c r="F23" i="12"/>
  <c r="F22" i="12"/>
  <c r="F21" i="12"/>
  <c r="F20" i="12"/>
  <c r="F19" i="12"/>
  <c r="F18" i="12"/>
  <c r="F17" i="12"/>
  <c r="F16" i="12"/>
  <c r="F15" i="12"/>
  <c r="F14" i="12"/>
  <c r="F13" i="12"/>
  <c r="F12" i="12"/>
  <c r="F11" i="12"/>
  <c r="F10" i="12"/>
  <c r="F9" i="12"/>
  <c r="F8" i="12"/>
  <c r="F7" i="12"/>
  <c r="F6" i="12"/>
  <c r="F5" i="12"/>
  <c r="F4" i="12"/>
  <c r="F3" i="12"/>
  <c r="F2" i="12"/>
  <c r="F27" i="11"/>
  <c r="F26" i="11"/>
  <c r="F25" i="11"/>
  <c r="F24" i="11"/>
  <c r="F23" i="11"/>
  <c r="F22" i="11"/>
  <c r="F21" i="11"/>
  <c r="F20" i="11"/>
  <c r="F19" i="11"/>
  <c r="F18" i="11"/>
  <c r="F17" i="11"/>
  <c r="F16" i="11"/>
  <c r="F15" i="11"/>
  <c r="F14" i="11"/>
  <c r="F13" i="11"/>
  <c r="F12" i="11"/>
  <c r="F11" i="11"/>
  <c r="F10" i="11"/>
  <c r="F9" i="11"/>
  <c r="F8" i="11"/>
  <c r="F7" i="11"/>
  <c r="F6" i="11"/>
  <c r="F5" i="11"/>
  <c r="F4" i="11"/>
  <c r="F3" i="11"/>
  <c r="F2" i="11"/>
  <c r="F27" i="10"/>
  <c r="F26" i="10"/>
  <c r="F25" i="10"/>
  <c r="F24" i="10"/>
  <c r="F23" i="10"/>
  <c r="F22" i="10"/>
  <c r="F21" i="10"/>
  <c r="F20" i="10"/>
  <c r="F19" i="10"/>
  <c r="F18" i="10"/>
  <c r="F17" i="10"/>
  <c r="F16" i="10"/>
  <c r="F15" i="10"/>
  <c r="F14" i="10"/>
  <c r="F13" i="10"/>
  <c r="F12" i="10"/>
  <c r="F11" i="10"/>
  <c r="F10" i="10"/>
  <c r="F9" i="10"/>
  <c r="F8" i="10"/>
  <c r="F7" i="10"/>
  <c r="F6" i="10"/>
  <c r="F5" i="10"/>
  <c r="F4" i="10"/>
  <c r="F3" i="10"/>
  <c r="F2" i="10"/>
  <c r="F27" i="9"/>
  <c r="F26" i="9"/>
  <c r="F25" i="9"/>
  <c r="F24" i="9"/>
  <c r="F23" i="9"/>
  <c r="F22" i="9"/>
  <c r="F21" i="9"/>
  <c r="F20" i="9"/>
  <c r="F19" i="9"/>
  <c r="F18" i="9"/>
  <c r="F17" i="9"/>
  <c r="F16" i="9"/>
  <c r="F15" i="9"/>
  <c r="F14" i="9"/>
  <c r="F13" i="9"/>
  <c r="F12" i="9"/>
  <c r="F11" i="9"/>
  <c r="F10" i="9"/>
  <c r="F9" i="9"/>
  <c r="F8" i="9"/>
  <c r="F7" i="9"/>
  <c r="F6" i="9"/>
  <c r="F5" i="9"/>
  <c r="F4" i="9"/>
  <c r="F3" i="9"/>
  <c r="F2" i="9"/>
  <c r="F27" i="8"/>
  <c r="F26" i="8"/>
  <c r="F25" i="8"/>
  <c r="F24" i="8"/>
  <c r="F23" i="8"/>
  <c r="F22" i="8"/>
  <c r="F21" i="8"/>
  <c r="F20" i="8"/>
  <c r="F19" i="8"/>
  <c r="F18" i="8"/>
  <c r="F17" i="8"/>
  <c r="F16" i="8"/>
  <c r="F15" i="8"/>
  <c r="F14" i="8"/>
  <c r="F13" i="8"/>
  <c r="F12" i="8"/>
  <c r="F11" i="8"/>
  <c r="F10" i="8"/>
  <c r="F9" i="8"/>
  <c r="F8" i="8"/>
  <c r="F7" i="8"/>
  <c r="F6" i="8"/>
  <c r="F5" i="8"/>
  <c r="F4" i="8"/>
  <c r="F3" i="8"/>
  <c r="F2" i="8"/>
  <c r="F27" i="6"/>
  <c r="F26" i="6"/>
  <c r="F25" i="6"/>
  <c r="F24" i="6"/>
  <c r="F23" i="6"/>
  <c r="F22" i="6"/>
  <c r="F21" i="6"/>
  <c r="F20" i="6"/>
  <c r="F19" i="6"/>
  <c r="F18" i="6"/>
  <c r="F17" i="6"/>
  <c r="F16" i="6"/>
  <c r="F15" i="6"/>
  <c r="F14" i="6"/>
  <c r="F13" i="6"/>
  <c r="F12" i="6"/>
  <c r="F11" i="6"/>
  <c r="F10" i="6"/>
  <c r="F9" i="6"/>
  <c r="F8" i="6"/>
  <c r="F7" i="6"/>
  <c r="F6" i="6"/>
  <c r="F5" i="6"/>
  <c r="F4" i="6"/>
  <c r="F3" i="6"/>
  <c r="F2" i="6"/>
  <c r="F27" i="5"/>
  <c r="F26" i="5"/>
  <c r="F25" i="5"/>
  <c r="F24" i="5"/>
  <c r="F23" i="5"/>
  <c r="F22" i="5"/>
  <c r="F21" i="5"/>
  <c r="F20" i="5"/>
  <c r="F19" i="5"/>
  <c r="F18" i="5"/>
  <c r="F17" i="5"/>
  <c r="F16" i="5"/>
  <c r="F15" i="5"/>
  <c r="F14" i="5"/>
  <c r="F13" i="5"/>
  <c r="F12" i="5"/>
  <c r="F11" i="5"/>
  <c r="F10" i="5"/>
  <c r="F9" i="5"/>
  <c r="F8" i="5"/>
  <c r="F7" i="5"/>
  <c r="F6" i="5"/>
  <c r="F5" i="5"/>
  <c r="F4" i="5"/>
  <c r="F3" i="5"/>
  <c r="F2" i="5"/>
  <c r="F2" i="3"/>
  <c r="F3" i="3"/>
  <c r="F4" i="3"/>
  <c r="F25" i="3"/>
  <c r="F22" i="3"/>
  <c r="F19" i="3"/>
  <c r="F8" i="3"/>
  <c r="F5" i="3"/>
  <c r="F27" i="3"/>
  <c r="F26" i="3"/>
  <c r="F24" i="3"/>
  <c r="F23" i="3"/>
  <c r="F21" i="3"/>
  <c r="F20" i="3"/>
  <c r="F18" i="3"/>
  <c r="F17" i="3"/>
  <c r="F16" i="3"/>
  <c r="F15" i="3"/>
  <c r="F14" i="3"/>
  <c r="F13" i="3"/>
  <c r="F12" i="3"/>
  <c r="F11" i="3"/>
  <c r="F10" i="3"/>
  <c r="F9" i="3"/>
  <c r="F7" i="3"/>
  <c r="F6" i="3"/>
  <c r="F2" i="2"/>
  <c r="F3" i="2"/>
  <c r="F4" i="2"/>
  <c r="F27" i="2"/>
  <c r="F28" i="2" s="1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  <c r="F28" i="8" l="1"/>
  <c r="F28" i="6"/>
  <c r="F28" i="5"/>
  <c r="F28" i="13"/>
  <c r="F28" i="3"/>
  <c r="F28" i="1"/>
</calcChain>
</file>

<file path=xl/sharedStrings.xml><?xml version="1.0" encoding="utf-8"?>
<sst xmlns="http://schemas.openxmlformats.org/spreadsheetml/2006/main" count="898" uniqueCount="63">
  <si>
    <t>ITEM</t>
  </si>
  <si>
    <t xml:space="preserve">QTY </t>
  </si>
  <si>
    <t>Channel</t>
  </si>
  <si>
    <t>100x50x6m</t>
  </si>
  <si>
    <t>m</t>
  </si>
  <si>
    <t>Lipped Channel</t>
  </si>
  <si>
    <t>100x50x20x2mmx6m</t>
  </si>
  <si>
    <t>psc</t>
  </si>
  <si>
    <t>Flat Bar</t>
  </si>
  <si>
    <t>150x8mm</t>
  </si>
  <si>
    <t>lengths</t>
  </si>
  <si>
    <t>100x5mmx6m</t>
  </si>
  <si>
    <t>Angle Irons</t>
  </si>
  <si>
    <t>60x60x5mmx6m</t>
  </si>
  <si>
    <t>50x50x5mmx6m</t>
  </si>
  <si>
    <t>Bolt &amp; Nuts</t>
  </si>
  <si>
    <t>M16x50</t>
  </si>
  <si>
    <t>M12x50</t>
  </si>
  <si>
    <t>Washers</t>
  </si>
  <si>
    <t>M16</t>
  </si>
  <si>
    <t xml:space="preserve">Roofing Sheets </t>
  </si>
  <si>
    <t xml:space="preserve"> I.B.R. 0.4mm 8.00m</t>
  </si>
  <si>
    <t xml:space="preserve">Roll top ridge  </t>
  </si>
  <si>
    <t>2.4m</t>
  </si>
  <si>
    <t>Tek Screw</t>
  </si>
  <si>
    <t>65 - 75</t>
  </si>
  <si>
    <t>Welding Rods</t>
  </si>
  <si>
    <t>1.5mm</t>
  </si>
  <si>
    <t>kg</t>
  </si>
  <si>
    <t>Cutting Disc</t>
  </si>
  <si>
    <t>9"</t>
  </si>
  <si>
    <t>Studding</t>
  </si>
  <si>
    <t>M16x1m</t>
  </si>
  <si>
    <t>Broach Cutters</t>
  </si>
  <si>
    <t>18mm</t>
  </si>
  <si>
    <t>14mm</t>
  </si>
  <si>
    <t>Red Oxide</t>
  </si>
  <si>
    <t>litres</t>
  </si>
  <si>
    <t>Thinners</t>
  </si>
  <si>
    <t>Riversand</t>
  </si>
  <si>
    <t>m³</t>
  </si>
  <si>
    <t>Cement</t>
  </si>
  <si>
    <t>bags</t>
  </si>
  <si>
    <t>3/4 Stones</t>
  </si>
  <si>
    <t>Alu Bubble</t>
  </si>
  <si>
    <t>Coated Wire</t>
  </si>
  <si>
    <t>1.6mmx25kgs</t>
  </si>
  <si>
    <t>Double Sided Tape</t>
  </si>
  <si>
    <t>50mm</t>
  </si>
  <si>
    <t>Labor</t>
  </si>
  <si>
    <t>-</t>
  </si>
  <si>
    <t>SPECIFICATIONS</t>
  </si>
  <si>
    <t>UNIT OF MEASUREMENT</t>
  </si>
  <si>
    <t>UNIT COST</t>
  </si>
  <si>
    <t>TOTAL COST</t>
  </si>
  <si>
    <t>Total</t>
  </si>
  <si>
    <t>127x64x5mm</t>
  </si>
  <si>
    <t>100x50x20x2mmx12m</t>
  </si>
  <si>
    <t xml:space="preserve">TOTAL </t>
  </si>
  <si>
    <t>TOTAL</t>
  </si>
  <si>
    <t xml:space="preserve"> I.B.R. 0.4mm 7.00m</t>
  </si>
  <si>
    <t xml:space="preserve"> I.B.R. 0.4mm 5.60m</t>
  </si>
  <si>
    <t xml:space="preserve"> I.B.R. 0.4mm 5.6m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</si>
</sst>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&quot;US$&quot;#,##0.00"/>
  </numFmts>
  <fonts count="4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164" fontId="1" fillId="0" borderId="0" xfId="0" applyNumberFormat="1" applyFont="1"/>
    <xf numFmtId="165" fontId="1" fillId="0" borderId="0" xfId="0" applyNumberFormat="1" applyFont="1"/>
    <xf numFmtId="0" fontId="2" fillId="0" borderId="0" xfId="0" applyFont="1"/>
    <xf numFmtId="0" fontId="2" fillId="2" borderId="0" xfId="0" applyFont="1" applyFill="1"/>
    <xf numFmtId="165" fontId="2" fillId="2" borderId="0" xfId="0" applyNumberFormat="1" applyFont="1" applyFill="1"/>
    <xf numFmtId="0" fontId="1" fillId="2" borderId="0" xfId="0" applyFont="1" applyFill="1"/>
    <xf numFmtId="165" fontId="1" fillId="2" borderId="0" xfId="0" applyNumberFormat="1" applyFont="1" applyFill="1"/>
    <xf numFmtId="164" fontId="1" fillId="2" borderId="0" xfId="0" applyNumberFormat="1" applyFont="1" applyFill="1"/>
    <xf numFmtId="164" fontId="2" fillId="2" borderId="0" xfId="0" applyNumberFormat="1" applyFont="1" applyFill="1"/>
  </cellXfs>
  <cellStyles count="1">
    <cellStyle name="Normal" xfId="0" builtinId="0"/>
  </cellStyles>
  <dxfs count="9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65" formatCode="&quot;US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65" formatCode="&quot;US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6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65" formatCode="&quot;US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6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65" formatCode="&quot;US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6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65" formatCode="&quot;US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6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65" formatCode="&quot;US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6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6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65" formatCode="&quot;US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6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65" formatCode="&quot;US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6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65" formatCode="&quot;US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6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65" formatCode="&quot;US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6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65" formatCode="&quot;US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65" formatCode="&quot;US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65" formatCode="&quot;US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65" formatCode="&quot;US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7EDE981-9432-4865-B581-E891332423B6}" name="Table1" displayName="Table1" ref="A1:F28" totalsRowShown="0" headerRowDxfId="95" dataDxfId="94">
  <autoFilter ref="A1:F28" xr:uid="{C7EDE981-9432-4865-B581-E891332423B6}"/>
  <tableColumns count="6">
    <tableColumn id="1" xr3:uid="{9D69E492-82D0-4A51-82E9-170AEE050ACB}" name="ITEM" dataDxfId="93"/>
    <tableColumn id="2" xr3:uid="{A063236F-54E2-425D-BCDA-3AD59C345430}" name="SPECIFICATIONS" dataDxfId="92"/>
    <tableColumn id="3" xr3:uid="{1E409227-B234-4623-B6EC-F7D7610BD0C2}" name="QTY " dataDxfId="91"/>
    <tableColumn id="4" xr3:uid="{98C6F98F-B8F5-4DFE-8079-3FDD4C87F17D}" name="UNIT OF MEASUREMENT" dataDxfId="90"/>
    <tableColumn id="5" xr3:uid="{6A8A94D5-6C9E-4550-9CFA-0DE3C8F511D6}" name="UNIT COST" dataDxfId="89"/>
    <tableColumn id="6" xr3:uid="{9BC70F4B-A742-4231-92D8-B9B12217C0B2}" name="TOTAL COST" dataDxfId="88">
      <calculatedColumnFormula>C2*E2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D047D31-6821-426A-AE43-3A618E5599D1}" name="Table13" displayName="Table13" ref="A1:F28" totalsRowShown="0" headerRowDxfId="87" dataDxfId="86">
  <autoFilter ref="A1:F28" xr:uid="{C7EDE981-9432-4865-B581-E891332423B6}"/>
  <tableColumns count="6">
    <tableColumn id="1" xr3:uid="{E1ED5DD6-C784-4CCC-B28C-5D44A4EED46B}" name="ITEM" dataDxfId="85"/>
    <tableColumn id="2" xr3:uid="{DCC9CAB6-657B-419B-B4B5-8A53E3F0CF3B}" name="SPECIFICATIONS" dataDxfId="84"/>
    <tableColumn id="3" xr3:uid="{715E8251-A15C-4C65-97D7-E5A4F34B8176}" name="QTY " dataDxfId="83"/>
    <tableColumn id="4" xr3:uid="{23DA256C-BEF9-4429-A82F-C9F2973BDF94}" name="UNIT OF MEASUREMENT" dataDxfId="82"/>
    <tableColumn id="5" xr3:uid="{E6B36C1A-BCD5-4949-870C-4E289F0EC454}" name="UNIT COST" dataDxfId="81"/>
    <tableColumn id="6" xr3:uid="{D604C75B-D565-49BD-A41F-77F9299108F2}" name="TOTAL COST" dataDxfId="80">
      <calculatedColumnFormula>C2*E2</calculatedColumnFormula>
    </tableColumn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7ABF81D-4D34-4A7C-92D7-DBCC02ABD4FE}" name="Table134" displayName="Table134" ref="A1:F28" totalsRowShown="0" headerRowDxfId="79" dataDxfId="78">
  <autoFilter ref="A1:F28" xr:uid="{C7EDE981-9432-4865-B581-E891332423B6}"/>
  <tableColumns count="6">
    <tableColumn id="1" xr3:uid="{EC1C71A7-A6EC-46E6-99E3-C0DE327235F5}" name="ITEM" dataDxfId="77"/>
    <tableColumn id="2" xr3:uid="{7919EB57-65F1-4B70-B674-6C8D7AACA9B0}" name="SPECIFICATIONS" dataDxfId="76"/>
    <tableColumn id="3" xr3:uid="{90B8C812-E199-4842-9E63-A61E8FB6C13F}" name="QTY " dataDxfId="75"/>
    <tableColumn id="4" xr3:uid="{F5BDFB23-F19A-48BA-9FF1-257D566CB2BF}" name="UNIT OF MEASUREMENT" dataDxfId="74"/>
    <tableColumn id="5" xr3:uid="{65501F51-1B90-482B-A3A3-8F3236FF4D6E}" name="UNIT COST" dataDxfId="73"/>
    <tableColumn id="6" xr3:uid="{BA05F888-E700-4775-9ACC-F6278E48AE98}" name="TOTAL COST" dataDxfId="72">
      <calculatedColumnFormula>C2*E2</calculatedColumnFormula>
    </tableColumn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BD2E1553-5325-4216-8E65-27D70DF5F70C}" name="Table134823" displayName="Table134823" ref="A1:F28" totalsRowShown="0" headerRowDxfId="71" dataDxfId="70">
  <autoFilter ref="A1:F28" xr:uid="{3D8043D1-4D24-4F9D-815D-824AC4F1D9E6}"/>
  <tableColumns count="6">
    <tableColumn id="1" xr3:uid="{2FB63603-F0F8-4867-ACF5-B53C07C35436}" name="ITEM" dataDxfId="69"/>
    <tableColumn id="2" xr3:uid="{7BAED273-3AEA-42B7-95FC-E010F324715F}" name="SPECIFICATIONS" dataDxfId="68"/>
    <tableColumn id="3" xr3:uid="{D2D0A379-5542-4998-9315-09204C3C7B9C}" name="QTY " dataDxfId="67"/>
    <tableColumn id="4" xr3:uid="{6A9CB5F6-197A-4E23-9D76-7B17D67C8F20}" name="UNIT OF MEASUREMENT" dataDxfId="66"/>
    <tableColumn id="5" xr3:uid="{C6431EFC-C8DF-4157-A1DB-C5A04798E021}" name="UNIT COST" dataDxfId="65"/>
    <tableColumn id="6" xr3:uid="{2D4EBE5C-06E8-4ADC-AB3F-140EA6CADC69}" name="TOTAL COST" dataDxfId="64">
      <calculatedColumnFormula>C2*E2</calculatedColumnFormula>
    </tableColumn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D8043D1-4D24-4F9D-815D-824AC4F1D9E6}" name="Table1348" displayName="Table1348" ref="A1:F28" totalsRowShown="0" headerRowDxfId="63" dataDxfId="62">
  <autoFilter ref="A1:F28" xr:uid="{3D8043D1-4D24-4F9D-815D-824AC4F1D9E6}"/>
  <tableColumns count="6">
    <tableColumn id="1" xr3:uid="{E4F9E2B7-4C8E-43A5-8D48-185228569239}" name="ITEM" dataDxfId="61"/>
    <tableColumn id="2" xr3:uid="{DBEB1DF7-B8C8-4589-B6BD-5EE8702D2771}" name="SPECIFICATIONS" dataDxfId="60"/>
    <tableColumn id="3" xr3:uid="{CD107F3A-7E88-45EE-B47C-4509FCEDE403}" name="QTY " dataDxfId="59"/>
    <tableColumn id="4" xr3:uid="{A8FFA10A-7893-4B58-A0AA-B135953AC3C2}" name="UNIT OF MEASUREMENT" dataDxfId="58"/>
    <tableColumn id="5" xr3:uid="{2202E2A9-8C11-4EEF-8476-CAAE6FBD09F4}" name="UNIT COST" dataDxfId="57"/>
    <tableColumn id="6" xr3:uid="{13405EC7-80FC-4BBC-92A3-AB8689EEDF0F}" name="TOTAL COST" dataDxfId="56">
      <calculatedColumnFormula>C2*E2</calculatedColumnFormula>
    </tableColumn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18169D3-4417-4693-9B2D-B10AF2BC38A0}" name="Table1349" displayName="Table1349" ref="A1:F28" totalsRowShown="0" headerRowDxfId="55" dataDxfId="54">
  <autoFilter ref="A1:F28" xr:uid="{D18169D3-4417-4693-9B2D-B10AF2BC38A0}"/>
  <tableColumns count="6">
    <tableColumn id="1" xr3:uid="{B94CDC7D-2E70-4F89-90FC-4B89D2111400}" name="ITEM" dataDxfId="53"/>
    <tableColumn id="2" xr3:uid="{1F99E671-FDC4-49C9-A561-AEAD055CA454}" name="SPECIFICATIONS" dataDxfId="52"/>
    <tableColumn id="3" xr3:uid="{4A545F02-3270-46E4-A724-B891D0D12CD1}" name="QTY " dataDxfId="51"/>
    <tableColumn id="4" xr3:uid="{D89F6A31-6EC6-44DB-90C1-7F131C10D3A1}" name="UNIT OF MEASUREMENT" dataDxfId="50"/>
    <tableColumn id="5" xr3:uid="{666A661C-9776-4D55-A80F-346FAFC793B5}" name="UNIT COST" dataDxfId="49"/>
    <tableColumn id="6" xr3:uid="{D92D486A-E243-472F-AB41-507EA56B0998}" name="TOTAL COST" dataDxfId="48">
      <calculatedColumnFormula>C2*E2</calculatedColumnFormula>
    </tableColumn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568C20D3-D570-4A99-B226-F2483971B674}" name="Table13411" displayName="Table13411" ref="A1:F28" totalsRowShown="0" headerRowDxfId="47" dataDxfId="46">
  <autoFilter ref="A1:F28" xr:uid="{568C20D3-D570-4A99-B226-F2483971B674}"/>
  <tableColumns count="6">
    <tableColumn id="1" xr3:uid="{CB16A760-6A63-43D5-B32D-346B678774B5}" name="ITEM" dataDxfId="45"/>
    <tableColumn id="2" xr3:uid="{0F3AAF9A-64EF-41E4-89DB-EDC495F0B98C}" name="SPECIFICATIONS" dataDxfId="44"/>
    <tableColumn id="3" xr3:uid="{BFC0D16F-87B4-4CCE-A7F9-61CF0D191048}" name="QTY " dataDxfId="43"/>
    <tableColumn id="4" xr3:uid="{317C0348-19B4-49A0-BF2E-3AC8A61D3A93}" name="UNIT OF MEASUREMENT" dataDxfId="42"/>
    <tableColumn id="5" xr3:uid="{6DB88262-F04D-45AC-8141-16D85CC2BCB0}" name="UNIT COST" dataDxfId="41"/>
    <tableColumn id="6" xr3:uid="{CB75960C-2B91-47D4-BEED-49A2AD9D7789}" name="TOTAL COST" dataDxfId="0">
      <calculatedColumnFormula>C2*E2</calculatedColumnFormula>
    </tableColumn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FE24B578-62EB-489C-88A4-2E68450F8EA1}" name="Table13413" displayName="Table13413" ref="A1:F28" totalsRowShown="0" headerRowDxfId="40" dataDxfId="39">
  <autoFilter ref="A1:F28" xr:uid="{FE24B578-62EB-489C-88A4-2E68450F8EA1}"/>
  <tableColumns count="6">
    <tableColumn id="1" xr3:uid="{077DECF6-A96E-455C-B6E6-4E824C39447E}" name="ITEM" dataDxfId="38"/>
    <tableColumn id="2" xr3:uid="{114DD612-7429-4A34-B170-E703F6C10D65}" name="SPECIFICATIONS" dataDxfId="37"/>
    <tableColumn id="3" xr3:uid="{A9359660-39D2-4D69-882F-BD5F2D5D73D3}" name="QTY " dataDxfId="36"/>
    <tableColumn id="4" xr3:uid="{54E30AFA-0D0F-43D5-A963-29194F7AFF39}" name="UNIT OF MEASUREMENT" dataDxfId="35"/>
    <tableColumn id="5" xr3:uid="{54F40477-D658-433B-8C7E-C0AEC1819D49}" name="UNIT COST" dataDxfId="34"/>
    <tableColumn id="6" xr3:uid="{20874989-E5D3-44DE-96A5-7DFF9FBA96C6}" name="TOTAL COST" dataDxfId="33">
      <calculatedColumnFormula>C2*E2</calculatedColumnFormula>
    </tableColumn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B097CBFB-B1DA-492F-A09A-3F8A02DBB32F}" name="Table13414" displayName="Table13414" ref="A1:F27" totalsRowShown="0" headerRowDxfId="32" dataDxfId="31">
  <autoFilter ref="A1:F27" xr:uid="{B097CBFB-B1DA-492F-A09A-3F8A02DBB32F}"/>
  <tableColumns count="6">
    <tableColumn id="1" xr3:uid="{46C618EB-44C3-4591-A2A5-82092CECF287}" name="ITEM" dataDxfId="30"/>
    <tableColumn id="2" xr3:uid="{D3D5D73F-EE9C-44A6-87E0-17DEDC3D8D57}" name="SPECIFICATIONS" dataDxfId="29"/>
    <tableColumn id="3" xr3:uid="{58821402-2D29-4B0A-9C92-D1CE581605DF}" name="QTY " dataDxfId="28"/>
    <tableColumn id="4" xr3:uid="{3E227EC1-0F0B-4695-A35B-7A50F2E4CA25}" name="UNIT OF MEASUREMENT" dataDxfId="27"/>
    <tableColumn id="5" xr3:uid="{51B5CEAE-C0B7-4A1B-9CC1-87ABF06C599C}" name="UNIT COST" dataDxfId="26"/>
    <tableColumn id="6" xr3:uid="{7E94B834-359A-419C-9C9B-9EB3CD9A8621}" name="TOTAL COST" dataDxfId="25">
      <calculatedColumnFormula>C2*E2</calculatedColumnFormula>
    </tableColumn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4C547011-7FA1-4D8F-9BF6-248BA7925D82}" name="Table13416" displayName="Table13416" ref="A1:F27" totalsRowShown="0" headerRowDxfId="24" dataDxfId="23">
  <autoFilter ref="A1:F27" xr:uid="{4C547011-7FA1-4D8F-9BF6-248BA7925D82}"/>
  <tableColumns count="6">
    <tableColumn id="1" xr3:uid="{C5E2495D-BD73-4CC5-8904-C1CB5A89B2C7}" name="ITEM" dataDxfId="22"/>
    <tableColumn id="2" xr3:uid="{06E91AD9-7BB7-4E59-8D1A-B82F03109B8F}" name="SPECIFICATIONS" dataDxfId="21"/>
    <tableColumn id="3" xr3:uid="{223912B5-D59A-4A03-916C-520E3B966FF3}" name="QTY " dataDxfId="20"/>
    <tableColumn id="4" xr3:uid="{56D84846-8905-4B15-9E35-4C18AD485DBF}" name="UNIT OF MEASUREMENT" dataDxfId="19"/>
    <tableColumn id="5" xr3:uid="{0B0EDD04-66A0-48CE-BD8B-0FFAF269E9F6}" name="UNIT COST" dataDxfId="18"/>
    <tableColumn id="6" xr3:uid="{9BDF2905-3E15-4736-AA92-90B13DB24052}" name="TOTAL COST" dataDxfId="17">
      <calculatedColumnFormula>C2*E2</calculatedColumnFormula>
    </tableColumn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B786B9EA-120E-4047-9EBD-E7AB5B8FF733}" name="Table13417" displayName="Table13417" ref="A1:F27" totalsRowShown="0" headerRowDxfId="16" dataDxfId="15">
  <autoFilter ref="A1:F27" xr:uid="{B786B9EA-120E-4047-9EBD-E7AB5B8FF733}"/>
  <tableColumns count="6">
    <tableColumn id="1" xr3:uid="{29E5AC91-AC78-4465-917C-AA74A39E3349}" name="ITEM" dataDxfId="14"/>
    <tableColumn id="2" xr3:uid="{FF3B62DA-578E-4BD9-9868-69A228A73E4C}" name="SPECIFICATIONS" dataDxfId="13"/>
    <tableColumn id="3" xr3:uid="{AE508081-F7A7-4A44-8A11-2E8F3852CEFE}" name="QTY " dataDxfId="12"/>
    <tableColumn id="4" xr3:uid="{DFC59A04-81CD-43D6-AE9F-883B96E2E5AB}" name="UNIT OF MEASUREMENT" dataDxfId="11"/>
    <tableColumn id="5" xr3:uid="{FF6EFBB7-ABAA-45DF-A310-050FB7EE7907}" name="UNIT COST" dataDxfId="10"/>
    <tableColumn id="6" xr3:uid="{44EC477D-D079-4F6A-B4BF-EACCE693F34A}" name="TOTAL COST" dataDxfId="9">
      <calculatedColumnFormula>C2*E2</calculatedColumnFormula>
    </tableColumn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1F636D2A-71D1-476D-BAC2-30864E533299}" name="Table134622" displayName="Table134622" ref="A1:F27" totalsRowShown="0" headerRowDxfId="8" dataDxfId="7">
  <autoFilter ref="A1:F27" xr:uid="{1F636D2A-71D1-476D-BAC2-30864E533299}"/>
  <tableColumns count="6">
    <tableColumn id="1" xr3:uid="{0327D420-5604-46D9-863C-30FF653038FF}" name="ITEM" dataDxfId="6"/>
    <tableColumn id="2" xr3:uid="{7100E351-89F8-4219-9FED-BD4CA2A0103E}" name="SPECIFICATIONS" dataDxfId="5"/>
    <tableColumn id="3" xr3:uid="{2580AFF5-1667-46D6-8400-99B491DA4100}" name="QTY " dataDxfId="4"/>
    <tableColumn id="4" xr3:uid="{2A8996B1-3DCD-4B20-8637-5B434423A568}" name="UNIT OF MEASUREMENT" dataDxfId="3"/>
    <tableColumn id="5" xr3:uid="{2ACB9423-BDD7-461F-8001-B09D772BE4D7}" name="UNIT COST" dataDxfId="2"/>
    <tableColumn id="6" xr3:uid="{06DE016A-DA36-44D2-8217-F688E7DC2280}" name="TOTAL COST" dataDxfId="1">
      <calculatedColumnFormula>C2*E2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6EE21-0744-4842-8DE7-7DB431A33BF1}">
  <dimension ref="A1:F28"/>
  <sheetViews>
    <sheetView topLeftCell="A19" workbookViewId="0">
      <selection activeCell="F32" sqref="F32"/>
    </sheetView>
  </sheetViews>
  <sheetFormatPr defaultColWidth="20.6328125" defaultRowHeight="15.5" x14ac:dyDescent="0.35"/>
  <cols>
    <col min="1" max="1" width="32.6328125" style="1" customWidth="1"/>
    <col min="2" max="2" width="26.453125" style="1" customWidth="1"/>
    <col min="3" max="3" width="12.81640625" style="1" customWidth="1"/>
    <col min="4" max="4" width="32.26953125" style="1" customWidth="1"/>
    <col min="5" max="5" width="23.90625" style="3" customWidth="1"/>
    <col min="6" max="6" width="20.6328125" style="3"/>
    <col min="7" max="16384" width="20.6328125" style="1"/>
  </cols>
  <sheetData>
    <row r="1" spans="1:6" x14ac:dyDescent="0.35">
      <c r="A1" s="1" t="s">
        <v>0</v>
      </c>
      <c r="B1" s="1" t="s">
        <v>51</v>
      </c>
      <c r="C1" s="1" t="s">
        <v>1</v>
      </c>
      <c r="D1" s="1" t="s">
        <v>52</v>
      </c>
      <c r="E1" s="3" t="s">
        <v>53</v>
      </c>
      <c r="F1" s="3" t="s">
        <v>54</v>
      </c>
    </row>
    <row r="2" spans="1:6" x14ac:dyDescent="0.35">
      <c r="A2" s="1" t="s">
        <v>2</v>
      </c>
      <c r="B2" s="1" t="s">
        <v>56</v>
      </c>
      <c r="C2" s="1">
        <v>36</v>
      </c>
      <c r="D2" s="1" t="s">
        <v>4</v>
      </c>
      <c r="E2" s="3">
        <v>120</v>
      </c>
      <c r="F2" s="3">
        <f>C2*E2</f>
        <v>4320</v>
      </c>
    </row>
    <row r="3" spans="1:6" x14ac:dyDescent="0.35">
      <c r="A3" s="1" t="s">
        <v>5</v>
      </c>
      <c r="B3" s="1" t="s">
        <v>57</v>
      </c>
      <c r="C3" s="1">
        <v>128</v>
      </c>
      <c r="D3" s="1" t="s">
        <v>7</v>
      </c>
      <c r="E3" s="3">
        <v>55</v>
      </c>
      <c r="F3" s="3">
        <f t="shared" ref="F3:F11" si="0">C3*E3</f>
        <v>7040</v>
      </c>
    </row>
    <row r="4" spans="1:6" x14ac:dyDescent="0.35">
      <c r="A4" s="1" t="s">
        <v>8</v>
      </c>
      <c r="B4" s="1" t="s">
        <v>9</v>
      </c>
      <c r="C4" s="1">
        <v>3</v>
      </c>
      <c r="D4" s="1" t="s">
        <v>10</v>
      </c>
      <c r="E4" s="3">
        <v>100</v>
      </c>
      <c r="F4" s="3">
        <f t="shared" si="0"/>
        <v>300</v>
      </c>
    </row>
    <row r="5" spans="1:6" x14ac:dyDescent="0.35">
      <c r="A5" s="1" t="s">
        <v>8</v>
      </c>
      <c r="B5" s="1" t="s">
        <v>11</v>
      </c>
      <c r="C5" s="1">
        <v>5</v>
      </c>
      <c r="D5" s="1" t="s">
        <v>10</v>
      </c>
      <c r="E5" s="3">
        <v>60</v>
      </c>
      <c r="F5" s="3">
        <f t="shared" si="0"/>
        <v>300</v>
      </c>
    </row>
    <row r="6" spans="1:6" x14ac:dyDescent="0.35">
      <c r="A6" s="1" t="s">
        <v>12</v>
      </c>
      <c r="B6" s="1" t="s">
        <v>13</v>
      </c>
      <c r="C6" s="1">
        <v>200</v>
      </c>
      <c r="D6" s="1" t="s">
        <v>10</v>
      </c>
      <c r="E6" s="3">
        <v>34</v>
      </c>
      <c r="F6" s="3">
        <f t="shared" si="0"/>
        <v>6800</v>
      </c>
    </row>
    <row r="7" spans="1:6" x14ac:dyDescent="0.35">
      <c r="A7" s="1" t="s">
        <v>12</v>
      </c>
      <c r="B7" s="1" t="s">
        <v>14</v>
      </c>
      <c r="C7" s="1">
        <v>104</v>
      </c>
      <c r="D7" s="1" t="s">
        <v>10</v>
      </c>
      <c r="E7" s="3">
        <v>25</v>
      </c>
      <c r="F7" s="3">
        <f t="shared" si="0"/>
        <v>2600</v>
      </c>
    </row>
    <row r="8" spans="1:6" x14ac:dyDescent="0.35">
      <c r="A8" s="1" t="s">
        <v>15</v>
      </c>
      <c r="B8" s="1" t="s">
        <v>16</v>
      </c>
      <c r="C8" s="1">
        <v>500</v>
      </c>
      <c r="D8" s="1" t="s">
        <v>7</v>
      </c>
      <c r="E8" s="3">
        <v>0.5</v>
      </c>
      <c r="F8" s="3">
        <f t="shared" si="0"/>
        <v>250</v>
      </c>
    </row>
    <row r="9" spans="1:6" x14ac:dyDescent="0.35">
      <c r="A9" s="1" t="s">
        <v>15</v>
      </c>
      <c r="B9" s="1" t="s">
        <v>17</v>
      </c>
      <c r="C9" s="1">
        <v>700</v>
      </c>
      <c r="D9" s="1" t="s">
        <v>7</v>
      </c>
      <c r="E9" s="3">
        <v>0.3</v>
      </c>
      <c r="F9" s="3">
        <f t="shared" si="0"/>
        <v>210</v>
      </c>
    </row>
    <row r="10" spans="1:6" x14ac:dyDescent="0.35">
      <c r="A10" s="1" t="s">
        <v>18</v>
      </c>
      <c r="B10" s="1" t="s">
        <v>19</v>
      </c>
      <c r="C10" s="1">
        <v>500</v>
      </c>
      <c r="D10" s="1" t="s">
        <v>7</v>
      </c>
      <c r="E10" s="3">
        <v>0.1</v>
      </c>
      <c r="F10" s="3">
        <f t="shared" si="0"/>
        <v>50</v>
      </c>
    </row>
    <row r="11" spans="1:6" x14ac:dyDescent="0.35">
      <c r="A11" s="1" t="s">
        <v>20</v>
      </c>
      <c r="B11" s="1" t="s">
        <v>21</v>
      </c>
      <c r="C11" s="1">
        <v>350</v>
      </c>
      <c r="D11" s="1" t="s">
        <v>10</v>
      </c>
      <c r="E11" s="3">
        <v>40</v>
      </c>
      <c r="F11" s="3">
        <f t="shared" si="0"/>
        <v>14000</v>
      </c>
    </row>
    <row r="12" spans="1:6" x14ac:dyDescent="0.35">
      <c r="A12" s="1" t="s">
        <v>22</v>
      </c>
      <c r="B12" s="1" t="s">
        <v>23</v>
      </c>
      <c r="C12" s="1">
        <v>60</v>
      </c>
      <c r="D12" s="1" t="s">
        <v>7</v>
      </c>
      <c r="E12" s="3">
        <v>10</v>
      </c>
      <c r="F12" s="3">
        <f>C12*E12</f>
        <v>600</v>
      </c>
    </row>
    <row r="13" spans="1:6" x14ac:dyDescent="0.35">
      <c r="A13" s="1" t="s">
        <v>24</v>
      </c>
      <c r="B13" s="1" t="s">
        <v>25</v>
      </c>
      <c r="C13" s="1">
        <v>3000</v>
      </c>
      <c r="D13" s="1" t="s">
        <v>7</v>
      </c>
      <c r="E13" s="3">
        <v>0.15</v>
      </c>
      <c r="F13" s="3">
        <f>C13*E13</f>
        <v>450</v>
      </c>
    </row>
    <row r="14" spans="1:6" x14ac:dyDescent="0.35">
      <c r="A14" s="1" t="s">
        <v>26</v>
      </c>
      <c r="B14" s="1" t="s">
        <v>27</v>
      </c>
      <c r="C14" s="1">
        <v>85</v>
      </c>
      <c r="D14" s="1" t="s">
        <v>28</v>
      </c>
      <c r="E14" s="3">
        <v>3</v>
      </c>
      <c r="F14" s="3">
        <f t="shared" ref="F14:F27" si="1">C14*E14</f>
        <v>255</v>
      </c>
    </row>
    <row r="15" spans="1:6" x14ac:dyDescent="0.35">
      <c r="A15" s="1" t="s">
        <v>29</v>
      </c>
      <c r="B15" s="1" t="s">
        <v>30</v>
      </c>
      <c r="C15" s="1">
        <v>65</v>
      </c>
      <c r="D15" s="1" t="s">
        <v>7</v>
      </c>
      <c r="E15" s="3">
        <v>2</v>
      </c>
      <c r="F15" s="3">
        <f t="shared" si="1"/>
        <v>130</v>
      </c>
    </row>
    <row r="16" spans="1:6" x14ac:dyDescent="0.35">
      <c r="A16" s="1" t="s">
        <v>31</v>
      </c>
      <c r="B16" s="1" t="s">
        <v>32</v>
      </c>
      <c r="C16" s="1">
        <v>15</v>
      </c>
      <c r="D16" s="1" t="s">
        <v>7</v>
      </c>
      <c r="E16" s="3">
        <v>3</v>
      </c>
      <c r="F16" s="3">
        <f t="shared" si="1"/>
        <v>45</v>
      </c>
    </row>
    <row r="17" spans="1:6" x14ac:dyDescent="0.35">
      <c r="A17" s="1" t="s">
        <v>33</v>
      </c>
      <c r="B17" s="1" t="s">
        <v>34</v>
      </c>
      <c r="C17" s="1">
        <v>4</v>
      </c>
      <c r="D17" s="1" t="s">
        <v>7</v>
      </c>
      <c r="E17" s="3">
        <v>28</v>
      </c>
      <c r="F17" s="3">
        <f t="shared" si="1"/>
        <v>112</v>
      </c>
    </row>
    <row r="18" spans="1:6" x14ac:dyDescent="0.35">
      <c r="A18" s="1" t="s">
        <v>33</v>
      </c>
      <c r="B18" s="1" t="s">
        <v>35</v>
      </c>
      <c r="C18" s="1">
        <v>4</v>
      </c>
      <c r="D18" s="1" t="s">
        <v>7</v>
      </c>
      <c r="E18" s="3">
        <v>27</v>
      </c>
      <c r="F18" s="3">
        <f t="shared" si="1"/>
        <v>108</v>
      </c>
    </row>
    <row r="19" spans="1:6" x14ac:dyDescent="0.35">
      <c r="A19" s="1" t="s">
        <v>36</v>
      </c>
      <c r="C19" s="1">
        <v>150</v>
      </c>
      <c r="D19" s="1" t="s">
        <v>37</v>
      </c>
      <c r="E19" s="3">
        <v>5</v>
      </c>
      <c r="F19" s="3">
        <f t="shared" si="1"/>
        <v>750</v>
      </c>
    </row>
    <row r="20" spans="1:6" x14ac:dyDescent="0.35">
      <c r="A20" s="1" t="s">
        <v>38</v>
      </c>
      <c r="C20" s="1">
        <v>150</v>
      </c>
      <c r="D20" s="1" t="s">
        <v>37</v>
      </c>
      <c r="E20" s="3">
        <v>3</v>
      </c>
      <c r="F20" s="3">
        <f t="shared" si="1"/>
        <v>450</v>
      </c>
    </row>
    <row r="21" spans="1:6" x14ac:dyDescent="0.35">
      <c r="A21" s="1" t="s">
        <v>39</v>
      </c>
      <c r="C21" s="1">
        <v>20</v>
      </c>
      <c r="D21" s="1" t="s">
        <v>40</v>
      </c>
      <c r="E21" s="3">
        <v>28</v>
      </c>
      <c r="F21" s="3">
        <f t="shared" si="1"/>
        <v>560</v>
      </c>
    </row>
    <row r="22" spans="1:6" x14ac:dyDescent="0.35">
      <c r="A22" s="1" t="s">
        <v>41</v>
      </c>
      <c r="C22" s="1">
        <v>110</v>
      </c>
      <c r="D22" s="1" t="s">
        <v>42</v>
      </c>
      <c r="E22" s="3">
        <v>13</v>
      </c>
      <c r="F22" s="3">
        <f t="shared" si="1"/>
        <v>1430</v>
      </c>
    </row>
    <row r="23" spans="1:6" x14ac:dyDescent="0.35">
      <c r="A23" s="1" t="s">
        <v>43</v>
      </c>
      <c r="C23" s="1">
        <v>20</v>
      </c>
      <c r="D23" s="1" t="s">
        <v>40</v>
      </c>
      <c r="E23" s="3">
        <v>23</v>
      </c>
      <c r="F23" s="3">
        <f t="shared" si="1"/>
        <v>460</v>
      </c>
    </row>
    <row r="24" spans="1:6" x14ac:dyDescent="0.35">
      <c r="A24" s="1" t="s">
        <v>44</v>
      </c>
      <c r="C24" s="1">
        <v>40</v>
      </c>
      <c r="E24" s="3">
        <v>100</v>
      </c>
      <c r="F24" s="3">
        <f t="shared" si="1"/>
        <v>4000</v>
      </c>
    </row>
    <row r="25" spans="1:6" x14ac:dyDescent="0.35">
      <c r="A25" s="1" t="s">
        <v>45</v>
      </c>
      <c r="B25" s="1" t="s">
        <v>46</v>
      </c>
      <c r="C25" s="1">
        <v>6</v>
      </c>
      <c r="E25" s="3">
        <v>47</v>
      </c>
      <c r="F25" s="3">
        <f t="shared" si="1"/>
        <v>282</v>
      </c>
    </row>
    <row r="26" spans="1:6" x14ac:dyDescent="0.35">
      <c r="A26" s="1" t="s">
        <v>47</v>
      </c>
      <c r="B26" s="1" t="s">
        <v>48</v>
      </c>
      <c r="C26" s="1">
        <v>120</v>
      </c>
      <c r="E26" s="3">
        <v>1</v>
      </c>
      <c r="F26" s="3">
        <f t="shared" si="1"/>
        <v>120</v>
      </c>
    </row>
    <row r="27" spans="1:6" x14ac:dyDescent="0.35">
      <c r="A27" s="1">
        <v>19967</v>
      </c>
      <c r="B27" s="1" t="s">
        <v>50</v>
      </c>
      <c r="C27" s="1">
        <v>1</v>
      </c>
      <c r="E27" s="3">
        <v>19967</v>
      </c>
      <c r="F27" s="3">
        <f t="shared" si="1"/>
        <v>19967</v>
      </c>
    </row>
    <row r="28" spans="1:6" s="4" customFormat="1" ht="15" x14ac:dyDescent="0.3">
      <c r="A28" s="5" t="s">
        <v>55</v>
      </c>
      <c r="B28" s="5"/>
      <c r="C28" s="5"/>
      <c r="D28" s="5"/>
      <c r="E28" s="6"/>
      <c r="F28" s="6">
        <f>SUM(F2:F27)</f>
        <v>65589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74334-30FC-4825-9087-C418D9043741}">
  <dimension ref="A1:F28"/>
  <sheetViews>
    <sheetView topLeftCell="A19" workbookViewId="0">
      <selection activeCell="E31" sqref="E31"/>
    </sheetView>
  </sheetViews>
  <sheetFormatPr defaultColWidth="20.6328125" defaultRowHeight="15.5" x14ac:dyDescent="0.35"/>
  <cols>
    <col min="1" max="1" width="32.6328125" style="1" customWidth="1"/>
    <col min="2" max="2" width="26.453125" style="1" customWidth="1"/>
    <col min="3" max="3" width="12.81640625" style="1" customWidth="1"/>
    <col min="4" max="4" width="24.1796875" style="1" customWidth="1"/>
    <col min="5" max="6" width="20.6328125" style="3"/>
    <col min="7" max="16384" width="20.6328125" style="1"/>
  </cols>
  <sheetData>
    <row r="1" spans="1:6" x14ac:dyDescent="0.35">
      <c r="A1" s="1" t="s">
        <v>0</v>
      </c>
      <c r="B1" s="1" t="s">
        <v>51</v>
      </c>
      <c r="C1" s="1" t="s">
        <v>1</v>
      </c>
      <c r="D1" s="1" t="s">
        <v>52</v>
      </c>
      <c r="E1" s="3" t="s">
        <v>53</v>
      </c>
      <c r="F1" s="3" t="s">
        <v>54</v>
      </c>
    </row>
    <row r="2" spans="1:6" x14ac:dyDescent="0.35">
      <c r="A2" s="1" t="s">
        <v>2</v>
      </c>
      <c r="B2" s="1" t="s">
        <v>56</v>
      </c>
      <c r="C2" s="1">
        <v>36</v>
      </c>
      <c r="D2" s="1" t="s">
        <v>4</v>
      </c>
      <c r="E2" s="2">
        <v>120</v>
      </c>
      <c r="F2" s="3">
        <f>C2*E2</f>
        <v>4320</v>
      </c>
    </row>
    <row r="3" spans="1:6" x14ac:dyDescent="0.35">
      <c r="A3" s="1" t="s">
        <v>5</v>
      </c>
      <c r="B3" s="1" t="s">
        <v>57</v>
      </c>
      <c r="C3" s="1">
        <v>110</v>
      </c>
      <c r="D3" s="1" t="s">
        <v>7</v>
      </c>
      <c r="E3" s="2">
        <v>55</v>
      </c>
      <c r="F3" s="3">
        <f t="shared" ref="F3:F11" si="0">C3*E3</f>
        <v>6050</v>
      </c>
    </row>
    <row r="4" spans="1:6" x14ac:dyDescent="0.35">
      <c r="A4" s="1" t="s">
        <v>8</v>
      </c>
      <c r="B4" s="1" t="s">
        <v>9</v>
      </c>
      <c r="C4" s="1">
        <v>4</v>
      </c>
      <c r="D4" s="1" t="s">
        <v>10</v>
      </c>
      <c r="E4" s="2">
        <v>100</v>
      </c>
      <c r="F4" s="3">
        <f t="shared" si="0"/>
        <v>400</v>
      </c>
    </row>
    <row r="5" spans="1:6" x14ac:dyDescent="0.35">
      <c r="A5" s="1" t="s">
        <v>8</v>
      </c>
      <c r="B5" s="1" t="s">
        <v>11</v>
      </c>
      <c r="C5" s="1">
        <v>8</v>
      </c>
      <c r="D5" s="1" t="s">
        <v>10</v>
      </c>
      <c r="E5" s="2">
        <v>60</v>
      </c>
      <c r="F5" s="3">
        <f t="shared" si="0"/>
        <v>480</v>
      </c>
    </row>
    <row r="6" spans="1:6" x14ac:dyDescent="0.35">
      <c r="A6" s="1" t="s">
        <v>12</v>
      </c>
      <c r="B6" s="1" t="s">
        <v>13</v>
      </c>
      <c r="C6" s="1">
        <v>170</v>
      </c>
      <c r="D6" s="1" t="s">
        <v>10</v>
      </c>
      <c r="E6" s="2">
        <v>29</v>
      </c>
      <c r="F6" s="3">
        <f t="shared" si="0"/>
        <v>4930</v>
      </c>
    </row>
    <row r="7" spans="1:6" x14ac:dyDescent="0.35">
      <c r="A7" s="1" t="s">
        <v>12</v>
      </c>
      <c r="B7" s="1" t="s">
        <v>14</v>
      </c>
      <c r="C7" s="1">
        <v>80</v>
      </c>
      <c r="D7" s="1" t="s">
        <v>10</v>
      </c>
      <c r="E7" s="2">
        <v>22</v>
      </c>
      <c r="F7" s="3">
        <f t="shared" si="0"/>
        <v>1760</v>
      </c>
    </row>
    <row r="8" spans="1:6" x14ac:dyDescent="0.35">
      <c r="A8" s="1" t="s">
        <v>15</v>
      </c>
      <c r="B8" s="1" t="s">
        <v>16</v>
      </c>
      <c r="C8" s="1">
        <v>500</v>
      </c>
      <c r="D8" s="1" t="s">
        <v>7</v>
      </c>
      <c r="E8" s="2">
        <v>0.5</v>
      </c>
      <c r="F8" s="3">
        <f t="shared" si="0"/>
        <v>250</v>
      </c>
    </row>
    <row r="9" spans="1:6" x14ac:dyDescent="0.35">
      <c r="A9" s="1" t="s">
        <v>15</v>
      </c>
      <c r="B9" s="1" t="s">
        <v>17</v>
      </c>
      <c r="C9" s="1">
        <v>700</v>
      </c>
      <c r="D9" s="1" t="s">
        <v>7</v>
      </c>
      <c r="E9" s="2">
        <v>0.3</v>
      </c>
      <c r="F9" s="3">
        <f t="shared" si="0"/>
        <v>210</v>
      </c>
    </row>
    <row r="10" spans="1:6" x14ac:dyDescent="0.35">
      <c r="A10" s="1" t="s">
        <v>18</v>
      </c>
      <c r="B10" s="1" t="s">
        <v>19</v>
      </c>
      <c r="C10" s="1">
        <v>500</v>
      </c>
      <c r="D10" s="1" t="s">
        <v>7</v>
      </c>
      <c r="E10" s="2">
        <v>0.1</v>
      </c>
      <c r="F10" s="3">
        <f t="shared" si="0"/>
        <v>50</v>
      </c>
    </row>
    <row r="11" spans="1:6" x14ac:dyDescent="0.35">
      <c r="A11" s="1" t="s">
        <v>20</v>
      </c>
      <c r="B11" s="1" t="s">
        <v>21</v>
      </c>
      <c r="C11" s="1">
        <v>375</v>
      </c>
      <c r="D11" s="1" t="s">
        <v>10</v>
      </c>
      <c r="E11" s="2">
        <v>28</v>
      </c>
      <c r="F11" s="3">
        <f t="shared" si="0"/>
        <v>10500</v>
      </c>
    </row>
    <row r="12" spans="1:6" x14ac:dyDescent="0.35">
      <c r="A12" s="1" t="s">
        <v>22</v>
      </c>
      <c r="B12" s="1" t="s">
        <v>23</v>
      </c>
      <c r="C12" s="1">
        <v>125</v>
      </c>
      <c r="D12" s="1" t="s">
        <v>7</v>
      </c>
      <c r="E12" s="2">
        <v>10</v>
      </c>
      <c r="F12" s="3">
        <f>C12*E12</f>
        <v>1250</v>
      </c>
    </row>
    <row r="13" spans="1:6" x14ac:dyDescent="0.35">
      <c r="A13" s="1" t="s">
        <v>24</v>
      </c>
      <c r="B13" s="1" t="s">
        <v>25</v>
      </c>
      <c r="C13" s="1">
        <v>6000</v>
      </c>
      <c r="D13" s="1" t="s">
        <v>7</v>
      </c>
      <c r="E13" s="2">
        <v>0.14000000000000001</v>
      </c>
      <c r="F13" s="3">
        <f>C13*E13</f>
        <v>840.00000000000011</v>
      </c>
    </row>
    <row r="14" spans="1:6" x14ac:dyDescent="0.35">
      <c r="A14" s="1" t="s">
        <v>26</v>
      </c>
      <c r="B14" s="1" t="s">
        <v>27</v>
      </c>
      <c r="C14" s="1">
        <v>85</v>
      </c>
      <c r="D14" s="1" t="s">
        <v>28</v>
      </c>
      <c r="E14" s="2">
        <v>3</v>
      </c>
      <c r="F14" s="3">
        <f t="shared" ref="F14:F28" si="1">C14*E14</f>
        <v>255</v>
      </c>
    </row>
    <row r="15" spans="1:6" x14ac:dyDescent="0.35">
      <c r="A15" s="1" t="s">
        <v>29</v>
      </c>
      <c r="B15" s="1" t="s">
        <v>30</v>
      </c>
      <c r="C15" s="1">
        <v>65</v>
      </c>
      <c r="D15" s="1" t="s">
        <v>7</v>
      </c>
      <c r="E15" s="2">
        <v>2</v>
      </c>
      <c r="F15" s="3">
        <f t="shared" si="1"/>
        <v>130</v>
      </c>
    </row>
    <row r="16" spans="1:6" x14ac:dyDescent="0.35">
      <c r="A16" s="1" t="s">
        <v>31</v>
      </c>
      <c r="B16" s="1" t="s">
        <v>32</v>
      </c>
      <c r="C16" s="1">
        <v>25</v>
      </c>
      <c r="D16" s="1" t="s">
        <v>7</v>
      </c>
      <c r="E16" s="2">
        <v>3</v>
      </c>
      <c r="F16" s="3">
        <f t="shared" si="1"/>
        <v>75</v>
      </c>
    </row>
    <row r="17" spans="1:6" x14ac:dyDescent="0.35">
      <c r="A17" s="1" t="s">
        <v>33</v>
      </c>
      <c r="B17" s="1" t="s">
        <v>34</v>
      </c>
      <c r="C17" s="1">
        <v>10</v>
      </c>
      <c r="D17" s="1" t="s">
        <v>7</v>
      </c>
      <c r="E17" s="2">
        <v>28</v>
      </c>
      <c r="F17" s="3">
        <f t="shared" si="1"/>
        <v>280</v>
      </c>
    </row>
    <row r="18" spans="1:6" x14ac:dyDescent="0.35">
      <c r="A18" s="1" t="s">
        <v>33</v>
      </c>
      <c r="B18" s="1" t="s">
        <v>35</v>
      </c>
      <c r="C18" s="1">
        <v>10</v>
      </c>
      <c r="D18" s="1" t="s">
        <v>7</v>
      </c>
      <c r="E18" s="2">
        <v>27</v>
      </c>
      <c r="F18" s="3">
        <f t="shared" si="1"/>
        <v>270</v>
      </c>
    </row>
    <row r="19" spans="1:6" x14ac:dyDescent="0.35">
      <c r="A19" s="1" t="s">
        <v>36</v>
      </c>
      <c r="C19" s="1">
        <v>150</v>
      </c>
      <c r="D19" s="1" t="s">
        <v>37</v>
      </c>
      <c r="E19" s="2">
        <v>5</v>
      </c>
      <c r="F19" s="3">
        <f t="shared" si="1"/>
        <v>750</v>
      </c>
    </row>
    <row r="20" spans="1:6" x14ac:dyDescent="0.35">
      <c r="A20" s="1" t="s">
        <v>38</v>
      </c>
      <c r="C20" s="1">
        <v>150</v>
      </c>
      <c r="D20" s="1" t="s">
        <v>37</v>
      </c>
      <c r="E20" s="2">
        <v>1.8</v>
      </c>
      <c r="F20" s="3">
        <f t="shared" si="1"/>
        <v>270</v>
      </c>
    </row>
    <row r="21" spans="1:6" x14ac:dyDescent="0.35">
      <c r="A21" s="1" t="s">
        <v>39</v>
      </c>
      <c r="C21" s="1">
        <v>110</v>
      </c>
      <c r="D21" s="1" t="s">
        <v>42</v>
      </c>
      <c r="E21" s="2">
        <v>28</v>
      </c>
      <c r="F21" s="3">
        <f t="shared" si="1"/>
        <v>3080</v>
      </c>
    </row>
    <row r="22" spans="1:6" x14ac:dyDescent="0.35">
      <c r="A22" s="1" t="s">
        <v>41</v>
      </c>
      <c r="C22" s="1">
        <v>20</v>
      </c>
      <c r="D22" s="1" t="s">
        <v>40</v>
      </c>
      <c r="E22" s="2">
        <v>12.5</v>
      </c>
      <c r="F22" s="3">
        <f t="shared" si="1"/>
        <v>250</v>
      </c>
    </row>
    <row r="23" spans="1:6" x14ac:dyDescent="0.35">
      <c r="A23" s="1" t="s">
        <v>43</v>
      </c>
      <c r="C23" s="1">
        <v>20</v>
      </c>
      <c r="D23" s="1" t="s">
        <v>40</v>
      </c>
      <c r="E23" s="2">
        <v>23</v>
      </c>
      <c r="F23" s="3">
        <f t="shared" si="1"/>
        <v>460</v>
      </c>
    </row>
    <row r="24" spans="1:6" x14ac:dyDescent="0.35">
      <c r="A24" s="1" t="s">
        <v>44</v>
      </c>
      <c r="C24" s="1">
        <v>31</v>
      </c>
      <c r="E24" s="2">
        <v>100</v>
      </c>
      <c r="F24" s="3">
        <f t="shared" si="1"/>
        <v>3100</v>
      </c>
    </row>
    <row r="25" spans="1:6" x14ac:dyDescent="0.35">
      <c r="A25" s="1" t="s">
        <v>45</v>
      </c>
      <c r="B25" s="1" t="s">
        <v>46</v>
      </c>
      <c r="C25" s="1">
        <v>6</v>
      </c>
      <c r="E25" s="2">
        <v>47</v>
      </c>
      <c r="F25" s="3">
        <f t="shared" si="1"/>
        <v>282</v>
      </c>
    </row>
    <row r="26" spans="1:6" x14ac:dyDescent="0.35">
      <c r="A26" s="1" t="s">
        <v>47</v>
      </c>
      <c r="B26" s="1" t="s">
        <v>48</v>
      </c>
      <c r="C26" s="1">
        <v>120</v>
      </c>
      <c r="E26" s="2">
        <v>1</v>
      </c>
      <c r="F26" s="3">
        <f t="shared" si="1"/>
        <v>120</v>
      </c>
    </row>
    <row r="27" spans="1:6" x14ac:dyDescent="0.35">
      <c r="A27" s="1" t="s">
        <v>49</v>
      </c>
      <c r="B27" s="1" t="s">
        <v>50</v>
      </c>
      <c r="C27" s="1">
        <v>1</v>
      </c>
      <c r="E27" s="3">
        <v>18126</v>
      </c>
      <c r="F27" s="3">
        <f t="shared" si="1"/>
        <v>18126</v>
      </c>
    </row>
    <row r="28" spans="1:6" x14ac:dyDescent="0.35">
      <c r="A28" s="5" t="s">
        <v>58</v>
      </c>
      <c r="B28" s="5"/>
      <c r="C28" s="5"/>
      <c r="D28" s="5"/>
      <c r="E28" s="6"/>
      <c r="F28" s="6">
        <f>SUM(F2:F27)</f>
        <v>58488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E991A-EE4A-41D2-B209-8D7DC47EA94C}">
  <dimension ref="A1:F28"/>
  <sheetViews>
    <sheetView workbookViewId="0">
      <selection activeCell="E30" sqref="E30"/>
    </sheetView>
  </sheetViews>
  <sheetFormatPr defaultColWidth="20.6328125" defaultRowHeight="15.5" x14ac:dyDescent="0.35"/>
  <cols>
    <col min="1" max="1" width="32.6328125" style="1" customWidth="1"/>
    <col min="2" max="2" width="26.453125" style="1" customWidth="1"/>
    <col min="3" max="3" width="12.81640625" style="1" customWidth="1"/>
    <col min="4" max="4" width="24.1796875" style="1" customWidth="1"/>
    <col min="5" max="6" width="20.6328125" style="3"/>
    <col min="7" max="16384" width="20.6328125" style="1"/>
  </cols>
  <sheetData>
    <row r="1" spans="1:6" x14ac:dyDescent="0.35">
      <c r="A1" s="1" t="s">
        <v>0</v>
      </c>
      <c r="B1" s="1" t="s">
        <v>51</v>
      </c>
      <c r="C1" s="1" t="s">
        <v>1</v>
      </c>
      <c r="D1" s="1" t="s">
        <v>52</v>
      </c>
      <c r="E1" s="3" t="s">
        <v>53</v>
      </c>
      <c r="F1" s="3" t="s">
        <v>54</v>
      </c>
    </row>
    <row r="2" spans="1:6" x14ac:dyDescent="0.35">
      <c r="A2" s="1" t="s">
        <v>2</v>
      </c>
      <c r="B2" s="1" t="s">
        <v>3</v>
      </c>
      <c r="C2" s="1">
        <v>30</v>
      </c>
      <c r="D2" s="1" t="s">
        <v>4</v>
      </c>
      <c r="E2" s="2">
        <v>65</v>
      </c>
      <c r="F2" s="3">
        <f>C2*E2</f>
        <v>1950</v>
      </c>
    </row>
    <row r="3" spans="1:6" x14ac:dyDescent="0.35">
      <c r="A3" s="1" t="s">
        <v>5</v>
      </c>
      <c r="B3" s="1" t="s">
        <v>6</v>
      </c>
      <c r="C3" s="1">
        <v>100</v>
      </c>
      <c r="D3" s="1" t="s">
        <v>7</v>
      </c>
      <c r="E3" s="2">
        <v>55</v>
      </c>
      <c r="F3" s="3">
        <f t="shared" ref="F3:F11" si="0">C3*E3</f>
        <v>5500</v>
      </c>
    </row>
    <row r="4" spans="1:6" x14ac:dyDescent="0.35">
      <c r="A4" s="1" t="s">
        <v>8</v>
      </c>
      <c r="B4" s="1" t="s">
        <v>9</v>
      </c>
      <c r="C4" s="1">
        <v>4</v>
      </c>
      <c r="D4" s="1" t="s">
        <v>10</v>
      </c>
      <c r="E4" s="2">
        <v>100</v>
      </c>
      <c r="F4" s="3">
        <f t="shared" si="0"/>
        <v>400</v>
      </c>
    </row>
    <row r="5" spans="1:6" x14ac:dyDescent="0.35">
      <c r="A5" s="1" t="s">
        <v>8</v>
      </c>
      <c r="B5" s="1" t="s">
        <v>11</v>
      </c>
      <c r="C5" s="1">
        <v>6</v>
      </c>
      <c r="D5" s="1" t="s">
        <v>10</v>
      </c>
      <c r="E5" s="2">
        <v>60</v>
      </c>
      <c r="F5" s="3">
        <f t="shared" si="0"/>
        <v>360</v>
      </c>
    </row>
    <row r="6" spans="1:6" x14ac:dyDescent="0.35">
      <c r="A6" s="1" t="s">
        <v>12</v>
      </c>
      <c r="B6" s="1" t="s">
        <v>13</v>
      </c>
      <c r="C6" s="1">
        <v>80</v>
      </c>
      <c r="D6" s="1" t="s">
        <v>10</v>
      </c>
      <c r="E6" s="2">
        <v>34</v>
      </c>
      <c r="F6" s="3">
        <f t="shared" si="0"/>
        <v>2720</v>
      </c>
    </row>
    <row r="7" spans="1:6" x14ac:dyDescent="0.35">
      <c r="A7" s="1" t="s">
        <v>12</v>
      </c>
      <c r="B7" s="1" t="s">
        <v>14</v>
      </c>
      <c r="C7" s="1">
        <v>158</v>
      </c>
      <c r="D7" s="1" t="s">
        <v>10</v>
      </c>
      <c r="E7" s="2">
        <v>25</v>
      </c>
      <c r="F7" s="3">
        <f t="shared" si="0"/>
        <v>3950</v>
      </c>
    </row>
    <row r="8" spans="1:6" x14ac:dyDescent="0.35">
      <c r="A8" s="1" t="s">
        <v>15</v>
      </c>
      <c r="B8" s="1" t="s">
        <v>16</v>
      </c>
      <c r="C8" s="1">
        <v>500</v>
      </c>
      <c r="D8" s="1" t="s">
        <v>7</v>
      </c>
      <c r="E8" s="2">
        <v>0.5</v>
      </c>
      <c r="F8" s="3">
        <f t="shared" si="0"/>
        <v>250</v>
      </c>
    </row>
    <row r="9" spans="1:6" x14ac:dyDescent="0.35">
      <c r="A9" s="1" t="s">
        <v>15</v>
      </c>
      <c r="B9" s="1" t="s">
        <v>17</v>
      </c>
      <c r="C9" s="1">
        <v>680</v>
      </c>
      <c r="D9" s="1" t="s">
        <v>7</v>
      </c>
      <c r="E9" s="2">
        <v>0.3</v>
      </c>
      <c r="F9" s="3">
        <f t="shared" si="0"/>
        <v>204</v>
      </c>
    </row>
    <row r="10" spans="1:6" x14ac:dyDescent="0.35">
      <c r="A10" s="1" t="s">
        <v>18</v>
      </c>
      <c r="B10" s="1" t="s">
        <v>19</v>
      </c>
      <c r="C10" s="1">
        <v>500</v>
      </c>
      <c r="D10" s="1" t="s">
        <v>7</v>
      </c>
      <c r="E10" s="2">
        <v>0.1</v>
      </c>
      <c r="F10" s="3">
        <f t="shared" si="0"/>
        <v>50</v>
      </c>
    </row>
    <row r="11" spans="1:6" x14ac:dyDescent="0.35">
      <c r="A11" s="1" t="s">
        <v>20</v>
      </c>
      <c r="B11" s="1" t="s">
        <v>60</v>
      </c>
      <c r="C11" s="1">
        <v>280</v>
      </c>
      <c r="D11" s="1" t="s">
        <v>10</v>
      </c>
      <c r="E11" s="2">
        <v>35</v>
      </c>
      <c r="F11" s="3">
        <f t="shared" si="0"/>
        <v>9800</v>
      </c>
    </row>
    <row r="12" spans="1:6" x14ac:dyDescent="0.35">
      <c r="A12" s="1" t="s">
        <v>22</v>
      </c>
      <c r="B12" s="1" t="s">
        <v>23</v>
      </c>
      <c r="C12" s="1">
        <v>50</v>
      </c>
      <c r="D12" s="1" t="s">
        <v>7</v>
      </c>
      <c r="E12" s="2">
        <v>10</v>
      </c>
      <c r="F12" s="3">
        <f>C12*E12</f>
        <v>500</v>
      </c>
    </row>
    <row r="13" spans="1:6" x14ac:dyDescent="0.35">
      <c r="A13" s="1" t="s">
        <v>24</v>
      </c>
      <c r="B13" s="1" t="s">
        <v>25</v>
      </c>
      <c r="C13" s="1">
        <v>4000</v>
      </c>
      <c r="D13" s="1" t="s">
        <v>7</v>
      </c>
      <c r="E13" s="2">
        <v>0.15</v>
      </c>
      <c r="F13" s="3">
        <f>C13*E13</f>
        <v>600</v>
      </c>
    </row>
    <row r="14" spans="1:6" x14ac:dyDescent="0.35">
      <c r="A14" s="1" t="s">
        <v>26</v>
      </c>
      <c r="B14" s="1" t="s">
        <v>27</v>
      </c>
      <c r="C14" s="1">
        <v>60</v>
      </c>
      <c r="D14" s="1" t="s">
        <v>28</v>
      </c>
      <c r="E14" s="2">
        <v>3</v>
      </c>
      <c r="F14" s="3">
        <f t="shared" ref="F14:F27" si="1">C14*E14</f>
        <v>180</v>
      </c>
    </row>
    <row r="15" spans="1:6" x14ac:dyDescent="0.35">
      <c r="A15" s="1" t="s">
        <v>29</v>
      </c>
      <c r="B15" s="1" t="s">
        <v>30</v>
      </c>
      <c r="C15" s="1">
        <v>20</v>
      </c>
      <c r="D15" s="1" t="s">
        <v>7</v>
      </c>
      <c r="E15" s="2">
        <v>2</v>
      </c>
      <c r="F15" s="3">
        <f t="shared" si="1"/>
        <v>40</v>
      </c>
    </row>
    <row r="16" spans="1:6" x14ac:dyDescent="0.35">
      <c r="A16" s="1" t="s">
        <v>31</v>
      </c>
      <c r="B16" s="1" t="s">
        <v>32</v>
      </c>
      <c r="C16" s="1">
        <v>15</v>
      </c>
      <c r="D16" s="1" t="s">
        <v>7</v>
      </c>
      <c r="E16" s="2">
        <v>3</v>
      </c>
      <c r="F16" s="3">
        <f t="shared" si="1"/>
        <v>45</v>
      </c>
    </row>
    <row r="17" spans="1:6" x14ac:dyDescent="0.35">
      <c r="A17" s="1" t="s">
        <v>33</v>
      </c>
      <c r="B17" s="1" t="s">
        <v>34</v>
      </c>
      <c r="C17" s="1">
        <v>5</v>
      </c>
      <c r="D17" s="1" t="s">
        <v>7</v>
      </c>
      <c r="E17" s="2">
        <v>28</v>
      </c>
      <c r="F17" s="3">
        <f t="shared" si="1"/>
        <v>140</v>
      </c>
    </row>
    <row r="18" spans="1:6" x14ac:dyDescent="0.35">
      <c r="A18" s="1" t="s">
        <v>33</v>
      </c>
      <c r="B18" s="1" t="s">
        <v>35</v>
      </c>
      <c r="C18" s="1">
        <v>5</v>
      </c>
      <c r="D18" s="1" t="s">
        <v>7</v>
      </c>
      <c r="E18" s="2">
        <v>27</v>
      </c>
      <c r="F18" s="3">
        <f t="shared" si="1"/>
        <v>135</v>
      </c>
    </row>
    <row r="19" spans="1:6" x14ac:dyDescent="0.35">
      <c r="A19" s="1" t="s">
        <v>36</v>
      </c>
      <c r="C19" s="1">
        <v>100</v>
      </c>
      <c r="D19" s="1" t="s">
        <v>37</v>
      </c>
      <c r="E19" s="2">
        <v>5</v>
      </c>
      <c r="F19" s="3">
        <f t="shared" si="1"/>
        <v>500</v>
      </c>
    </row>
    <row r="20" spans="1:6" x14ac:dyDescent="0.35">
      <c r="A20" s="1" t="s">
        <v>38</v>
      </c>
      <c r="C20" s="1">
        <v>100</v>
      </c>
      <c r="D20" s="1" t="s">
        <v>37</v>
      </c>
      <c r="E20" s="2">
        <v>3</v>
      </c>
      <c r="F20" s="3">
        <f t="shared" si="1"/>
        <v>300</v>
      </c>
    </row>
    <row r="21" spans="1:6" x14ac:dyDescent="0.35">
      <c r="A21" s="1" t="s">
        <v>39</v>
      </c>
      <c r="C21" s="1">
        <v>20</v>
      </c>
      <c r="D21" s="1" t="s">
        <v>40</v>
      </c>
      <c r="E21" s="2">
        <v>28</v>
      </c>
      <c r="F21" s="3">
        <f t="shared" si="1"/>
        <v>560</v>
      </c>
    </row>
    <row r="22" spans="1:6" x14ac:dyDescent="0.35">
      <c r="A22" s="1" t="s">
        <v>41</v>
      </c>
      <c r="C22" s="1">
        <v>110</v>
      </c>
      <c r="D22" s="1" t="s">
        <v>42</v>
      </c>
      <c r="E22" s="2">
        <v>13</v>
      </c>
      <c r="F22" s="3">
        <f t="shared" si="1"/>
        <v>1430</v>
      </c>
    </row>
    <row r="23" spans="1:6" x14ac:dyDescent="0.35">
      <c r="A23" s="1" t="s">
        <v>43</v>
      </c>
      <c r="C23" s="1">
        <v>20</v>
      </c>
      <c r="D23" s="1" t="s">
        <v>40</v>
      </c>
      <c r="E23" s="2">
        <v>23</v>
      </c>
      <c r="F23" s="3">
        <f t="shared" si="1"/>
        <v>460</v>
      </c>
    </row>
    <row r="24" spans="1:6" x14ac:dyDescent="0.35">
      <c r="A24" s="1" t="s">
        <v>44</v>
      </c>
      <c r="C24" s="1">
        <v>0</v>
      </c>
      <c r="E24" s="2">
        <v>105</v>
      </c>
      <c r="F24" s="3">
        <f t="shared" si="1"/>
        <v>0</v>
      </c>
    </row>
    <row r="25" spans="1:6" x14ac:dyDescent="0.35">
      <c r="A25" s="1" t="s">
        <v>45</v>
      </c>
      <c r="B25" s="1" t="s">
        <v>46</v>
      </c>
      <c r="C25" s="1">
        <v>1</v>
      </c>
      <c r="E25" s="2">
        <v>47</v>
      </c>
      <c r="F25" s="3">
        <f t="shared" si="1"/>
        <v>47</v>
      </c>
    </row>
    <row r="26" spans="1:6" x14ac:dyDescent="0.35">
      <c r="A26" s="1" t="s">
        <v>47</v>
      </c>
      <c r="B26" s="1" t="s">
        <v>48</v>
      </c>
      <c r="C26" s="1">
        <v>5</v>
      </c>
      <c r="E26" s="2">
        <v>1</v>
      </c>
      <c r="F26" s="3">
        <f t="shared" si="1"/>
        <v>5</v>
      </c>
    </row>
    <row r="27" spans="1:6" x14ac:dyDescent="0.35">
      <c r="A27" s="1" t="s">
        <v>49</v>
      </c>
      <c r="B27" s="1" t="s">
        <v>50</v>
      </c>
      <c r="C27" s="1">
        <v>1</v>
      </c>
      <c r="E27" s="2">
        <v>14554</v>
      </c>
      <c r="F27" s="3">
        <f t="shared" si="1"/>
        <v>14554</v>
      </c>
    </row>
    <row r="28" spans="1:6" s="4" customFormat="1" ht="15" x14ac:dyDescent="0.3">
      <c r="A28" s="5" t="s">
        <v>59</v>
      </c>
      <c r="B28" s="5" t="s">
        <v>50</v>
      </c>
      <c r="C28" s="5"/>
      <c r="D28" s="5"/>
      <c r="E28" s="10"/>
      <c r="F28" s="6">
        <f>SUM(F2:F27)</f>
        <v>44680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6A901-11E2-49E0-B8F3-9B698162DE4C}">
  <dimension ref="A1:F28"/>
  <sheetViews>
    <sheetView workbookViewId="0">
      <selection activeCell="C16" sqref="C16"/>
    </sheetView>
  </sheetViews>
  <sheetFormatPr defaultRowHeight="14.5" x14ac:dyDescent="0.35"/>
  <cols>
    <col min="1" max="1" width="32.6328125" customWidth="1"/>
    <col min="2" max="2" width="26.453125" customWidth="1"/>
    <col min="3" max="3" width="12.81640625" customWidth="1"/>
    <col min="4" max="4" width="24.1796875" customWidth="1"/>
    <col min="5" max="5" width="13.54296875" customWidth="1"/>
    <col min="6" max="6" width="19.54296875" customWidth="1"/>
  </cols>
  <sheetData>
    <row r="1" spans="1:6" ht="15.5" x14ac:dyDescent="0.35">
      <c r="A1" s="1" t="s">
        <v>0</v>
      </c>
      <c r="B1" s="1" t="s">
        <v>51</v>
      </c>
      <c r="C1" s="1" t="s">
        <v>1</v>
      </c>
      <c r="D1" s="1" t="s">
        <v>52</v>
      </c>
      <c r="E1" s="3" t="s">
        <v>53</v>
      </c>
      <c r="F1" s="3" t="s">
        <v>54</v>
      </c>
    </row>
    <row r="2" spans="1:6" ht="15.5" x14ac:dyDescent="0.35">
      <c r="A2" s="1" t="s">
        <v>2</v>
      </c>
      <c r="B2" s="1" t="s">
        <v>3</v>
      </c>
      <c r="C2" s="1">
        <v>30</v>
      </c>
      <c r="D2" s="1" t="s">
        <v>4</v>
      </c>
      <c r="E2" s="2">
        <v>65</v>
      </c>
      <c r="F2" s="3">
        <f>C2*E2</f>
        <v>1950</v>
      </c>
    </row>
    <row r="3" spans="1:6" ht="15.5" x14ac:dyDescent="0.35">
      <c r="A3" s="1" t="s">
        <v>5</v>
      </c>
      <c r="B3" s="1" t="s">
        <v>57</v>
      </c>
      <c r="C3" s="1">
        <v>95</v>
      </c>
      <c r="D3" s="1" t="s">
        <v>7</v>
      </c>
      <c r="E3" s="2">
        <v>55</v>
      </c>
      <c r="F3" s="3">
        <f t="shared" ref="F3:F27" si="0">C3*E3</f>
        <v>5225</v>
      </c>
    </row>
    <row r="4" spans="1:6" ht="15.5" x14ac:dyDescent="0.35">
      <c r="A4" s="1" t="s">
        <v>8</v>
      </c>
      <c r="B4" s="1" t="s">
        <v>9</v>
      </c>
      <c r="C4" s="1">
        <v>4</v>
      </c>
      <c r="D4" s="1" t="s">
        <v>10</v>
      </c>
      <c r="E4" s="2">
        <v>100</v>
      </c>
      <c r="F4" s="3">
        <f t="shared" si="0"/>
        <v>400</v>
      </c>
    </row>
    <row r="5" spans="1:6" ht="15.5" x14ac:dyDescent="0.35">
      <c r="A5" s="1" t="s">
        <v>8</v>
      </c>
      <c r="B5" s="1" t="s">
        <v>11</v>
      </c>
      <c r="C5" s="1">
        <v>6</v>
      </c>
      <c r="D5" s="1" t="s">
        <v>10</v>
      </c>
      <c r="E5" s="2">
        <v>60</v>
      </c>
      <c r="F5" s="3">
        <f t="shared" si="0"/>
        <v>360</v>
      </c>
    </row>
    <row r="6" spans="1:6" ht="15.5" x14ac:dyDescent="0.35">
      <c r="A6" s="1" t="s">
        <v>12</v>
      </c>
      <c r="B6" s="1" t="s">
        <v>13</v>
      </c>
      <c r="C6" s="1">
        <v>80</v>
      </c>
      <c r="D6" s="1" t="s">
        <v>10</v>
      </c>
      <c r="E6" s="2">
        <v>34</v>
      </c>
      <c r="F6" s="3">
        <f t="shared" si="0"/>
        <v>2720</v>
      </c>
    </row>
    <row r="7" spans="1:6" ht="15.5" x14ac:dyDescent="0.35">
      <c r="A7" s="1" t="s">
        <v>12</v>
      </c>
      <c r="B7" s="1" t="s">
        <v>14</v>
      </c>
      <c r="C7" s="1">
        <v>150</v>
      </c>
      <c r="D7" s="1" t="s">
        <v>10</v>
      </c>
      <c r="E7" s="2">
        <v>25</v>
      </c>
      <c r="F7" s="3">
        <f t="shared" si="0"/>
        <v>3750</v>
      </c>
    </row>
    <row r="8" spans="1:6" ht="15.5" x14ac:dyDescent="0.35">
      <c r="A8" s="1" t="s">
        <v>15</v>
      </c>
      <c r="B8" s="1" t="s">
        <v>16</v>
      </c>
      <c r="C8" s="1">
        <v>500</v>
      </c>
      <c r="D8" s="1" t="s">
        <v>7</v>
      </c>
      <c r="E8" s="2">
        <v>0.5</v>
      </c>
      <c r="F8" s="3">
        <f t="shared" si="0"/>
        <v>250</v>
      </c>
    </row>
    <row r="9" spans="1:6" ht="15.5" x14ac:dyDescent="0.35">
      <c r="A9" s="1" t="s">
        <v>15</v>
      </c>
      <c r="B9" s="1" t="s">
        <v>17</v>
      </c>
      <c r="C9" s="1">
        <v>680</v>
      </c>
      <c r="D9" s="1" t="s">
        <v>7</v>
      </c>
      <c r="E9" s="2">
        <v>0.3</v>
      </c>
      <c r="F9" s="3">
        <f t="shared" si="0"/>
        <v>204</v>
      </c>
    </row>
    <row r="10" spans="1:6" ht="15.5" x14ac:dyDescent="0.35">
      <c r="A10" s="1" t="s">
        <v>18</v>
      </c>
      <c r="B10" s="1" t="s">
        <v>19</v>
      </c>
      <c r="C10" s="1">
        <v>500</v>
      </c>
      <c r="D10" s="1" t="s">
        <v>7</v>
      </c>
      <c r="E10" s="2">
        <v>0.1</v>
      </c>
      <c r="F10" s="3">
        <f t="shared" si="0"/>
        <v>50</v>
      </c>
    </row>
    <row r="11" spans="1:6" ht="15.5" x14ac:dyDescent="0.35">
      <c r="A11" s="1" t="s">
        <v>20</v>
      </c>
      <c r="B11" s="1" t="s">
        <v>61</v>
      </c>
      <c r="C11" s="1">
        <v>300</v>
      </c>
      <c r="D11" s="1" t="s">
        <v>10</v>
      </c>
      <c r="E11" s="2">
        <v>28</v>
      </c>
      <c r="F11" s="3">
        <f t="shared" si="0"/>
        <v>8400</v>
      </c>
    </row>
    <row r="12" spans="1:6" ht="15.5" x14ac:dyDescent="0.35">
      <c r="A12" s="1" t="s">
        <v>22</v>
      </c>
      <c r="B12" s="1" t="s">
        <v>23</v>
      </c>
      <c r="C12" s="1">
        <v>50</v>
      </c>
      <c r="D12" s="1" t="s">
        <v>7</v>
      </c>
      <c r="E12" s="2">
        <v>10</v>
      </c>
      <c r="F12" s="3">
        <f t="shared" si="0"/>
        <v>500</v>
      </c>
    </row>
    <row r="13" spans="1:6" ht="15.5" x14ac:dyDescent="0.35">
      <c r="A13" s="1" t="s">
        <v>24</v>
      </c>
      <c r="B13" s="1" t="s">
        <v>25</v>
      </c>
      <c r="C13" s="1">
        <v>4000</v>
      </c>
      <c r="D13" s="1" t="s">
        <v>7</v>
      </c>
      <c r="E13" s="2">
        <v>0.15</v>
      </c>
      <c r="F13" s="3">
        <f t="shared" si="0"/>
        <v>600</v>
      </c>
    </row>
    <row r="14" spans="1:6" ht="15.5" x14ac:dyDescent="0.35">
      <c r="A14" s="1" t="s">
        <v>26</v>
      </c>
      <c r="B14" s="1" t="s">
        <v>27</v>
      </c>
      <c r="C14" s="1">
        <v>60</v>
      </c>
      <c r="D14" s="1" t="s">
        <v>28</v>
      </c>
      <c r="E14" s="2">
        <v>3</v>
      </c>
      <c r="F14" s="3">
        <f t="shared" si="0"/>
        <v>180</v>
      </c>
    </row>
    <row r="15" spans="1:6" ht="15.5" x14ac:dyDescent="0.35">
      <c r="A15" s="1" t="s">
        <v>29</v>
      </c>
      <c r="B15" s="1" t="s">
        <v>30</v>
      </c>
      <c r="C15" s="1">
        <v>65</v>
      </c>
      <c r="D15" s="1" t="s">
        <v>7</v>
      </c>
      <c r="E15" s="2">
        <v>2</v>
      </c>
      <c r="F15" s="3">
        <f t="shared" si="0"/>
        <v>130</v>
      </c>
    </row>
    <row r="16" spans="1:6" ht="15.5" x14ac:dyDescent="0.35">
      <c r="A16" s="1" t="s">
        <v>31</v>
      </c>
      <c r="B16" s="1" t="s">
        <v>32</v>
      </c>
      <c r="C16" s="1">
        <v>15</v>
      </c>
      <c r="D16" s="1" t="s">
        <v>7</v>
      </c>
      <c r="E16" s="2">
        <v>3</v>
      </c>
      <c r="F16" s="3">
        <f t="shared" si="0"/>
        <v>45</v>
      </c>
    </row>
    <row r="17" spans="1:6" ht="15.5" x14ac:dyDescent="0.35">
      <c r="A17" s="1" t="s">
        <v>33</v>
      </c>
      <c r="B17" s="1" t="s">
        <v>34</v>
      </c>
      <c r="C17" s="1">
        <v>10</v>
      </c>
      <c r="D17" s="1" t="s">
        <v>7</v>
      </c>
      <c r="E17" s="2">
        <v>28</v>
      </c>
      <c r="F17" s="3">
        <f t="shared" si="0"/>
        <v>280</v>
      </c>
    </row>
    <row r="18" spans="1:6" ht="15.5" x14ac:dyDescent="0.35">
      <c r="A18" s="1" t="s">
        <v>33</v>
      </c>
      <c r="B18" s="1" t="s">
        <v>35</v>
      </c>
      <c r="C18" s="1">
        <v>10</v>
      </c>
      <c r="D18" s="1" t="s">
        <v>7</v>
      </c>
      <c r="E18" s="2">
        <v>27</v>
      </c>
      <c r="F18" s="3">
        <f t="shared" si="0"/>
        <v>270</v>
      </c>
    </row>
    <row r="19" spans="1:6" ht="15.5" x14ac:dyDescent="0.35">
      <c r="A19" s="1" t="s">
        <v>36</v>
      </c>
      <c r="B19" s="1"/>
      <c r="C19" s="1">
        <v>100</v>
      </c>
      <c r="D19" s="1" t="s">
        <v>37</v>
      </c>
      <c r="E19" s="2">
        <v>5</v>
      </c>
      <c r="F19" s="3">
        <f t="shared" si="0"/>
        <v>500</v>
      </c>
    </row>
    <row r="20" spans="1:6" ht="15.5" x14ac:dyDescent="0.35">
      <c r="A20" s="1" t="s">
        <v>38</v>
      </c>
      <c r="B20" s="1"/>
      <c r="C20" s="1">
        <v>100</v>
      </c>
      <c r="D20" s="1" t="s">
        <v>37</v>
      </c>
      <c r="E20" s="2">
        <v>3</v>
      </c>
      <c r="F20" s="3">
        <f t="shared" si="0"/>
        <v>300</v>
      </c>
    </row>
    <row r="21" spans="1:6" ht="15.5" x14ac:dyDescent="0.35">
      <c r="A21" s="1" t="s">
        <v>39</v>
      </c>
      <c r="B21" s="1"/>
      <c r="C21" s="1">
        <v>20</v>
      </c>
      <c r="D21" s="1" t="s">
        <v>40</v>
      </c>
      <c r="E21" s="2">
        <v>28</v>
      </c>
      <c r="F21" s="3">
        <f t="shared" si="0"/>
        <v>560</v>
      </c>
    </row>
    <row r="22" spans="1:6" ht="15.5" x14ac:dyDescent="0.35">
      <c r="A22" s="1" t="s">
        <v>41</v>
      </c>
      <c r="B22" s="1"/>
      <c r="C22" s="1">
        <v>110</v>
      </c>
      <c r="D22" s="1" t="s">
        <v>42</v>
      </c>
      <c r="E22" s="2">
        <v>13</v>
      </c>
      <c r="F22" s="3">
        <f t="shared" si="0"/>
        <v>1430</v>
      </c>
    </row>
    <row r="23" spans="1:6" ht="15.5" x14ac:dyDescent="0.35">
      <c r="A23" s="1" t="s">
        <v>43</v>
      </c>
      <c r="B23" s="1"/>
      <c r="C23" s="1">
        <v>20</v>
      </c>
      <c r="D23" s="1" t="s">
        <v>40</v>
      </c>
      <c r="E23" s="2">
        <v>23</v>
      </c>
      <c r="F23" s="3">
        <f t="shared" si="0"/>
        <v>460</v>
      </c>
    </row>
    <row r="24" spans="1:6" ht="15.5" x14ac:dyDescent="0.35">
      <c r="A24" s="1" t="s">
        <v>44</v>
      </c>
      <c r="B24" s="1"/>
      <c r="C24" s="1">
        <v>0</v>
      </c>
      <c r="D24" s="1"/>
      <c r="E24" s="2">
        <v>105</v>
      </c>
      <c r="F24" s="3">
        <f t="shared" si="0"/>
        <v>0</v>
      </c>
    </row>
    <row r="25" spans="1:6" ht="15.5" x14ac:dyDescent="0.35">
      <c r="A25" s="1" t="s">
        <v>45</v>
      </c>
      <c r="B25" s="1" t="s">
        <v>46</v>
      </c>
      <c r="C25" s="1">
        <v>0</v>
      </c>
      <c r="D25" s="1"/>
      <c r="E25" s="2">
        <v>47</v>
      </c>
      <c r="F25" s="3">
        <f t="shared" si="0"/>
        <v>0</v>
      </c>
    </row>
    <row r="26" spans="1:6" ht="15.5" x14ac:dyDescent="0.35">
      <c r="A26" s="1" t="s">
        <v>47</v>
      </c>
      <c r="B26" s="1" t="s">
        <v>48</v>
      </c>
      <c r="C26" s="1">
        <v>0</v>
      </c>
      <c r="D26" s="1"/>
      <c r="E26" s="2">
        <v>1</v>
      </c>
      <c r="F26" s="3">
        <f t="shared" si="0"/>
        <v>0</v>
      </c>
    </row>
    <row r="27" spans="1:6" ht="15.5" x14ac:dyDescent="0.35">
      <c r="A27" s="1" t="s">
        <v>49</v>
      </c>
      <c r="B27" s="1" t="s">
        <v>50</v>
      </c>
      <c r="C27" s="1">
        <v>1</v>
      </c>
      <c r="D27" s="1"/>
      <c r="E27" s="2">
        <v>13197</v>
      </c>
      <c r="F27" s="3">
        <f t="shared" si="0"/>
        <v>13197</v>
      </c>
    </row>
    <row r="28" spans="1:6" ht="15.5" x14ac:dyDescent="0.35">
      <c r="A28" s="5" t="s">
        <v>59</v>
      </c>
      <c r="B28" s="5" t="s">
        <v>50</v>
      </c>
      <c r="C28" s="5"/>
      <c r="D28" s="5"/>
      <c r="E28" s="10"/>
      <c r="F28" s="6">
        <f>SUM(F2:F27)</f>
        <v>41761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DE29D-E1D2-4FEC-9907-F2F1960E79FE}">
  <dimension ref="A1:F28"/>
  <sheetViews>
    <sheetView workbookViewId="0">
      <selection activeCell="C16" sqref="C16"/>
    </sheetView>
  </sheetViews>
  <sheetFormatPr defaultRowHeight="14.5" x14ac:dyDescent="0.35"/>
  <cols>
    <col min="1" max="1" width="32.6328125" customWidth="1"/>
    <col min="2" max="2" width="26.453125" customWidth="1"/>
    <col min="3" max="3" width="12.81640625" customWidth="1"/>
    <col min="4" max="4" width="24.1796875" customWidth="1"/>
    <col min="5" max="6" width="20.6328125"/>
  </cols>
  <sheetData>
    <row r="1" spans="1:6" ht="15.5" x14ac:dyDescent="0.35">
      <c r="A1" s="1" t="s">
        <v>0</v>
      </c>
      <c r="B1" s="1" t="s">
        <v>51</v>
      </c>
      <c r="C1" s="1" t="s">
        <v>1</v>
      </c>
      <c r="D1" s="1" t="s">
        <v>52</v>
      </c>
      <c r="E1" s="3" t="s">
        <v>53</v>
      </c>
      <c r="F1" s="3" t="s">
        <v>54</v>
      </c>
    </row>
    <row r="2" spans="1:6" ht="15.5" x14ac:dyDescent="0.35">
      <c r="A2" s="1" t="s">
        <v>2</v>
      </c>
      <c r="B2" s="1" t="s">
        <v>3</v>
      </c>
      <c r="C2" s="1">
        <v>23</v>
      </c>
      <c r="D2" s="1" t="s">
        <v>4</v>
      </c>
      <c r="E2" s="2">
        <v>65</v>
      </c>
      <c r="F2" s="3">
        <f>C2*E2</f>
        <v>1495</v>
      </c>
    </row>
    <row r="3" spans="1:6" ht="15.5" x14ac:dyDescent="0.35">
      <c r="A3" s="1" t="s">
        <v>5</v>
      </c>
      <c r="B3" s="1" t="s">
        <v>57</v>
      </c>
      <c r="C3" s="1">
        <v>67</v>
      </c>
      <c r="D3" s="1" t="s">
        <v>7</v>
      </c>
      <c r="E3" s="2">
        <v>55</v>
      </c>
      <c r="F3" s="3">
        <f t="shared" ref="F3:F11" si="0">C3*E3</f>
        <v>3685</v>
      </c>
    </row>
    <row r="4" spans="1:6" ht="15.5" x14ac:dyDescent="0.35">
      <c r="A4" s="1" t="s">
        <v>8</v>
      </c>
      <c r="B4" s="1" t="s">
        <v>9</v>
      </c>
      <c r="C4" s="1">
        <v>4</v>
      </c>
      <c r="D4" s="1" t="s">
        <v>10</v>
      </c>
      <c r="E4" s="2">
        <v>100</v>
      </c>
      <c r="F4" s="3">
        <f t="shared" si="0"/>
        <v>400</v>
      </c>
    </row>
    <row r="5" spans="1:6" ht="15.5" x14ac:dyDescent="0.35">
      <c r="A5" s="1" t="s">
        <v>8</v>
      </c>
      <c r="B5" s="1" t="s">
        <v>11</v>
      </c>
      <c r="C5" s="1">
        <v>6</v>
      </c>
      <c r="D5" s="1" t="s">
        <v>10</v>
      </c>
      <c r="E5" s="2">
        <v>60</v>
      </c>
      <c r="F5" s="3">
        <f t="shared" si="0"/>
        <v>360</v>
      </c>
    </row>
    <row r="6" spans="1:6" ht="15.5" x14ac:dyDescent="0.35">
      <c r="A6" s="1" t="s">
        <v>12</v>
      </c>
      <c r="B6" s="1" t="s">
        <v>13</v>
      </c>
      <c r="C6" s="1">
        <v>158</v>
      </c>
      <c r="D6" s="1" t="s">
        <v>10</v>
      </c>
      <c r="E6" s="2">
        <v>34</v>
      </c>
      <c r="F6" s="3">
        <f t="shared" si="0"/>
        <v>5372</v>
      </c>
    </row>
    <row r="7" spans="1:6" ht="15.5" x14ac:dyDescent="0.35">
      <c r="A7" s="1" t="s">
        <v>12</v>
      </c>
      <c r="B7" s="1" t="s">
        <v>14</v>
      </c>
      <c r="C7" s="1">
        <v>80</v>
      </c>
      <c r="D7" s="1" t="s">
        <v>10</v>
      </c>
      <c r="E7" s="2">
        <v>25</v>
      </c>
      <c r="F7" s="3">
        <f t="shared" si="0"/>
        <v>2000</v>
      </c>
    </row>
    <row r="8" spans="1:6" ht="15.5" x14ac:dyDescent="0.35">
      <c r="A8" s="1" t="s">
        <v>15</v>
      </c>
      <c r="B8" s="1" t="s">
        <v>16</v>
      </c>
      <c r="C8" s="1">
        <v>500</v>
      </c>
      <c r="D8" s="1" t="s">
        <v>7</v>
      </c>
      <c r="E8" s="2">
        <v>0.5</v>
      </c>
      <c r="F8" s="3">
        <f t="shared" si="0"/>
        <v>250</v>
      </c>
    </row>
    <row r="9" spans="1:6" ht="15.5" x14ac:dyDescent="0.35">
      <c r="A9" s="1" t="s">
        <v>15</v>
      </c>
      <c r="B9" s="1" t="s">
        <v>17</v>
      </c>
      <c r="C9" s="1">
        <v>680</v>
      </c>
      <c r="D9" s="1" t="s">
        <v>7</v>
      </c>
      <c r="E9" s="2">
        <v>0.3</v>
      </c>
      <c r="F9" s="3">
        <f t="shared" si="0"/>
        <v>204</v>
      </c>
    </row>
    <row r="10" spans="1:6" ht="15.5" x14ac:dyDescent="0.35">
      <c r="A10" s="1" t="s">
        <v>18</v>
      </c>
      <c r="B10" s="1" t="s">
        <v>19</v>
      </c>
      <c r="C10" s="1">
        <v>500</v>
      </c>
      <c r="D10" s="1" t="s">
        <v>7</v>
      </c>
      <c r="E10" s="2">
        <v>0.1</v>
      </c>
      <c r="F10" s="3">
        <f t="shared" si="0"/>
        <v>50</v>
      </c>
    </row>
    <row r="11" spans="1:6" ht="15.5" x14ac:dyDescent="0.35">
      <c r="A11" s="1" t="s">
        <v>20</v>
      </c>
      <c r="B11" s="1" t="s">
        <v>61</v>
      </c>
      <c r="C11" s="1">
        <v>220</v>
      </c>
      <c r="D11" s="1" t="s">
        <v>10</v>
      </c>
      <c r="E11" s="2">
        <v>28</v>
      </c>
      <c r="F11" s="3">
        <f t="shared" si="0"/>
        <v>6160</v>
      </c>
    </row>
    <row r="12" spans="1:6" ht="15.5" x14ac:dyDescent="0.35">
      <c r="A12" s="1" t="s">
        <v>22</v>
      </c>
      <c r="B12" s="1" t="s">
        <v>23</v>
      </c>
      <c r="C12" s="1">
        <v>42</v>
      </c>
      <c r="D12" s="1" t="s">
        <v>7</v>
      </c>
      <c r="E12" s="2">
        <v>10</v>
      </c>
      <c r="F12" s="3">
        <f>C12*E12</f>
        <v>420</v>
      </c>
    </row>
    <row r="13" spans="1:6" ht="15.5" x14ac:dyDescent="0.35">
      <c r="A13" s="1" t="s">
        <v>24</v>
      </c>
      <c r="B13" s="1" t="s">
        <v>25</v>
      </c>
      <c r="C13" s="1">
        <v>4000</v>
      </c>
      <c r="D13" s="1" t="s">
        <v>7</v>
      </c>
      <c r="E13" s="2">
        <v>0.15</v>
      </c>
      <c r="F13" s="3">
        <f>C13*E13</f>
        <v>600</v>
      </c>
    </row>
    <row r="14" spans="1:6" ht="15.5" x14ac:dyDescent="0.35">
      <c r="A14" s="1" t="s">
        <v>26</v>
      </c>
      <c r="B14" s="1" t="s">
        <v>27</v>
      </c>
      <c r="C14" s="1">
        <v>60</v>
      </c>
      <c r="D14" s="1" t="s">
        <v>28</v>
      </c>
      <c r="E14" s="2">
        <v>3</v>
      </c>
      <c r="F14" s="3">
        <f t="shared" ref="F14:F27" si="1">C14*E14</f>
        <v>180</v>
      </c>
    </row>
    <row r="15" spans="1:6" ht="15.5" x14ac:dyDescent="0.35">
      <c r="A15" s="1" t="s">
        <v>29</v>
      </c>
      <c r="B15" s="1" t="s">
        <v>30</v>
      </c>
      <c r="C15" s="1">
        <v>65</v>
      </c>
      <c r="D15" s="1" t="s">
        <v>7</v>
      </c>
      <c r="E15" s="2">
        <v>2</v>
      </c>
      <c r="F15" s="3">
        <f t="shared" si="1"/>
        <v>130</v>
      </c>
    </row>
    <row r="16" spans="1:6" ht="15.5" x14ac:dyDescent="0.35">
      <c r="A16" s="1" t="s">
        <v>31</v>
      </c>
      <c r="B16" s="1" t="s">
        <v>32</v>
      </c>
      <c r="C16" s="1">
        <v>15</v>
      </c>
      <c r="D16" s="1" t="s">
        <v>7</v>
      </c>
      <c r="E16" s="2">
        <v>3</v>
      </c>
      <c r="F16" s="3">
        <f t="shared" si="1"/>
        <v>45</v>
      </c>
    </row>
    <row r="17" spans="1:6" ht="15.5" x14ac:dyDescent="0.35">
      <c r="A17" s="1" t="s">
        <v>33</v>
      </c>
      <c r="B17" s="1" t="s">
        <v>34</v>
      </c>
      <c r="C17" s="1">
        <v>10</v>
      </c>
      <c r="D17" s="1" t="s">
        <v>7</v>
      </c>
      <c r="E17" s="2">
        <v>28</v>
      </c>
      <c r="F17" s="3">
        <f t="shared" si="1"/>
        <v>280</v>
      </c>
    </row>
    <row r="18" spans="1:6" ht="15.5" x14ac:dyDescent="0.35">
      <c r="A18" s="1" t="s">
        <v>33</v>
      </c>
      <c r="B18" s="1" t="s">
        <v>35</v>
      </c>
      <c r="C18" s="1">
        <v>10</v>
      </c>
      <c r="D18" s="1" t="s">
        <v>7</v>
      </c>
      <c r="E18" s="2">
        <v>27</v>
      </c>
      <c r="F18" s="3">
        <f t="shared" si="1"/>
        <v>270</v>
      </c>
    </row>
    <row r="19" spans="1:6" ht="15.5" x14ac:dyDescent="0.35">
      <c r="A19" s="1" t="s">
        <v>36</v>
      </c>
      <c r="B19" s="1"/>
      <c r="C19" s="1">
        <v>100</v>
      </c>
      <c r="D19" s="1" t="s">
        <v>37</v>
      </c>
      <c r="E19" s="2">
        <v>5</v>
      </c>
      <c r="F19" s="3">
        <f t="shared" si="1"/>
        <v>500</v>
      </c>
    </row>
    <row r="20" spans="1:6" ht="15.5" x14ac:dyDescent="0.35">
      <c r="A20" s="1" t="s">
        <v>38</v>
      </c>
      <c r="B20" s="1"/>
      <c r="C20" s="1">
        <v>100</v>
      </c>
      <c r="D20" s="1" t="s">
        <v>37</v>
      </c>
      <c r="E20" s="2">
        <v>3</v>
      </c>
      <c r="F20" s="3">
        <f t="shared" si="1"/>
        <v>300</v>
      </c>
    </row>
    <row r="21" spans="1:6" ht="15.5" x14ac:dyDescent="0.35">
      <c r="A21" s="1" t="s">
        <v>39</v>
      </c>
      <c r="B21" s="1"/>
      <c r="C21" s="1">
        <v>20</v>
      </c>
      <c r="D21" s="1" t="s">
        <v>40</v>
      </c>
      <c r="E21" s="2">
        <v>28</v>
      </c>
      <c r="F21" s="3">
        <f t="shared" si="1"/>
        <v>560</v>
      </c>
    </row>
    <row r="22" spans="1:6" ht="15.5" x14ac:dyDescent="0.35">
      <c r="A22" s="1" t="s">
        <v>41</v>
      </c>
      <c r="B22" s="1"/>
      <c r="C22" s="1">
        <v>110</v>
      </c>
      <c r="D22" s="1" t="s">
        <v>42</v>
      </c>
      <c r="E22" s="2">
        <v>13</v>
      </c>
      <c r="F22" s="3">
        <f t="shared" si="1"/>
        <v>1430</v>
      </c>
    </row>
    <row r="23" spans="1:6" ht="15.5" x14ac:dyDescent="0.35">
      <c r="A23" s="1" t="s">
        <v>43</v>
      </c>
      <c r="B23" s="1"/>
      <c r="C23" s="1">
        <v>20</v>
      </c>
      <c r="D23" s="1" t="s">
        <v>40</v>
      </c>
      <c r="E23" s="2">
        <v>23</v>
      </c>
      <c r="F23" s="3">
        <f t="shared" si="1"/>
        <v>460</v>
      </c>
    </row>
    <row r="24" spans="1:6" ht="15.5" x14ac:dyDescent="0.35">
      <c r="A24" s="1" t="s">
        <v>44</v>
      </c>
      <c r="B24" s="1"/>
      <c r="C24" s="1">
        <v>0</v>
      </c>
      <c r="D24" s="1"/>
      <c r="E24" s="2">
        <v>105</v>
      </c>
      <c r="F24" s="3">
        <f t="shared" si="1"/>
        <v>0</v>
      </c>
    </row>
    <row r="25" spans="1:6" ht="15.5" x14ac:dyDescent="0.35">
      <c r="A25" s="1" t="s">
        <v>45</v>
      </c>
      <c r="B25" s="1" t="s">
        <v>46</v>
      </c>
      <c r="C25" s="1">
        <v>0</v>
      </c>
      <c r="D25" s="1"/>
      <c r="E25" s="2">
        <v>47</v>
      </c>
      <c r="F25" s="3">
        <f t="shared" si="1"/>
        <v>0</v>
      </c>
    </row>
    <row r="26" spans="1:6" ht="15.5" x14ac:dyDescent="0.35">
      <c r="A26" s="1" t="s">
        <v>47</v>
      </c>
      <c r="B26" s="1" t="s">
        <v>48</v>
      </c>
      <c r="C26" s="1">
        <v>0</v>
      </c>
      <c r="D26" s="1"/>
      <c r="E26" s="2">
        <v>1</v>
      </c>
      <c r="F26" s="3">
        <f t="shared" si="1"/>
        <v>0</v>
      </c>
    </row>
    <row r="27" spans="1:6" ht="15.5" x14ac:dyDescent="0.35">
      <c r="A27" s="1" t="s">
        <v>49</v>
      </c>
      <c r="B27" s="1" t="s">
        <v>50</v>
      </c>
      <c r="C27" s="1">
        <v>1</v>
      </c>
      <c r="D27" s="1"/>
      <c r="E27" s="2">
        <v>11402</v>
      </c>
      <c r="F27" s="3">
        <f t="shared" si="1"/>
        <v>11402</v>
      </c>
    </row>
    <row r="28" spans="1:6" ht="15.5" x14ac:dyDescent="0.35">
      <c r="A28" s="5" t="s">
        <v>59</v>
      </c>
      <c r="B28" s="5" t="s">
        <v>50</v>
      </c>
      <c r="C28" s="5"/>
      <c r="D28" s="5"/>
      <c r="E28" s="10"/>
      <c r="F28" s="6">
        <f>SUM(F2:F27)</f>
        <v>36553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1A72B-A141-4D76-80BA-BBF7AD3D0252}">
  <dimension ref="A1:F28"/>
  <sheetViews>
    <sheetView workbookViewId="0">
      <selection activeCell="E7" sqref="E7"/>
    </sheetView>
  </sheetViews>
  <sheetFormatPr defaultRowHeight="14.5" x14ac:dyDescent="0.35"/>
  <cols>
    <col min="1" max="1" width="32.6328125" customWidth="1"/>
    <col min="2" max="2" width="26.453125" customWidth="1"/>
    <col min="3" max="3" width="12.81640625" customWidth="1"/>
    <col min="4" max="4" width="24.1796875" customWidth="1"/>
    <col min="5" max="6" width="20.6328125"/>
  </cols>
  <sheetData>
    <row r="1" spans="1:6" ht="15.5" x14ac:dyDescent="0.35">
      <c r="A1" s="1" t="s">
        <v>0</v>
      </c>
      <c r="B1" s="1" t="s">
        <v>51</v>
      </c>
      <c r="C1" s="1" t="s">
        <v>1</v>
      </c>
      <c r="D1" s="1" t="s">
        <v>52</v>
      </c>
      <c r="E1" s="3" t="s">
        <v>53</v>
      </c>
      <c r="F1" s="3" t="s">
        <v>54</v>
      </c>
    </row>
    <row r="2" spans="1:6" ht="15.5" x14ac:dyDescent="0.35">
      <c r="A2" s="1" t="s">
        <v>2</v>
      </c>
      <c r="B2" s="1" t="s">
        <v>3</v>
      </c>
      <c r="C2" s="1">
        <v>16</v>
      </c>
      <c r="D2" s="1" t="s">
        <v>4</v>
      </c>
      <c r="E2" s="2">
        <v>65</v>
      </c>
      <c r="F2" s="3">
        <f>C2*E2</f>
        <v>1040</v>
      </c>
    </row>
    <row r="3" spans="1:6" ht="15.5" x14ac:dyDescent="0.35">
      <c r="A3" s="1" t="s">
        <v>5</v>
      </c>
      <c r="B3" s="1" t="s">
        <v>6</v>
      </c>
      <c r="C3" s="1">
        <v>50</v>
      </c>
      <c r="D3" s="1" t="s">
        <v>7</v>
      </c>
      <c r="E3" s="2">
        <v>55</v>
      </c>
      <c r="F3" s="3">
        <f t="shared" ref="F3:F11" si="0">C3*E3</f>
        <v>2750</v>
      </c>
    </row>
    <row r="4" spans="1:6" ht="15.5" x14ac:dyDescent="0.35">
      <c r="A4" s="1" t="s">
        <v>8</v>
      </c>
      <c r="B4" s="1" t="s">
        <v>9</v>
      </c>
      <c r="C4" s="1">
        <v>3</v>
      </c>
      <c r="D4" s="1" t="s">
        <v>10</v>
      </c>
      <c r="E4" s="2">
        <v>100</v>
      </c>
      <c r="F4" s="3">
        <f t="shared" si="0"/>
        <v>300</v>
      </c>
    </row>
    <row r="5" spans="1:6" ht="15.5" x14ac:dyDescent="0.35">
      <c r="A5" s="1" t="s">
        <v>8</v>
      </c>
      <c r="B5" s="1" t="s">
        <v>11</v>
      </c>
      <c r="C5" s="1">
        <v>3</v>
      </c>
      <c r="D5" s="1" t="s">
        <v>10</v>
      </c>
      <c r="E5" s="2">
        <v>60</v>
      </c>
      <c r="F5" s="3">
        <f t="shared" si="0"/>
        <v>180</v>
      </c>
    </row>
    <row r="6" spans="1:6" ht="15.5" x14ac:dyDescent="0.35">
      <c r="A6" s="1" t="s">
        <v>12</v>
      </c>
      <c r="B6" s="1" t="s">
        <v>13</v>
      </c>
      <c r="C6" s="1">
        <v>66</v>
      </c>
      <c r="D6" s="1" t="s">
        <v>10</v>
      </c>
      <c r="E6" s="2">
        <v>34</v>
      </c>
      <c r="F6" s="3">
        <f t="shared" si="0"/>
        <v>2244</v>
      </c>
    </row>
    <row r="7" spans="1:6" ht="15.5" x14ac:dyDescent="0.35">
      <c r="A7" s="1" t="s">
        <v>12</v>
      </c>
      <c r="B7" s="1" t="s">
        <v>14</v>
      </c>
      <c r="C7" s="1">
        <v>66</v>
      </c>
      <c r="D7" s="1" t="s">
        <v>10</v>
      </c>
      <c r="E7" s="2">
        <v>25</v>
      </c>
      <c r="F7" s="3">
        <f t="shared" si="0"/>
        <v>1650</v>
      </c>
    </row>
    <row r="8" spans="1:6" ht="15.5" x14ac:dyDescent="0.35">
      <c r="A8" s="1" t="s">
        <v>15</v>
      </c>
      <c r="B8" s="1" t="s">
        <v>16</v>
      </c>
      <c r="C8" s="1">
        <v>300</v>
      </c>
      <c r="D8" s="1" t="s">
        <v>7</v>
      </c>
      <c r="E8" s="2">
        <v>0.5</v>
      </c>
      <c r="F8" s="3">
        <f t="shared" si="0"/>
        <v>150</v>
      </c>
    </row>
    <row r="9" spans="1:6" ht="15.5" x14ac:dyDescent="0.35">
      <c r="A9" s="1" t="s">
        <v>15</v>
      </c>
      <c r="B9" s="1" t="s">
        <v>17</v>
      </c>
      <c r="C9" s="1">
        <v>400</v>
      </c>
      <c r="D9" s="1" t="s">
        <v>7</v>
      </c>
      <c r="E9" s="2">
        <v>0.3</v>
      </c>
      <c r="F9" s="3">
        <f t="shared" si="0"/>
        <v>120</v>
      </c>
    </row>
    <row r="10" spans="1:6" ht="15.5" x14ac:dyDescent="0.35">
      <c r="A10" s="1" t="s">
        <v>18</v>
      </c>
      <c r="B10" s="1" t="s">
        <v>19</v>
      </c>
      <c r="C10" s="1">
        <v>300</v>
      </c>
      <c r="D10" s="1" t="s">
        <v>7</v>
      </c>
      <c r="E10" s="2">
        <v>0.1</v>
      </c>
      <c r="F10" s="3">
        <f t="shared" si="0"/>
        <v>30</v>
      </c>
    </row>
    <row r="11" spans="1:6" ht="15.5" x14ac:dyDescent="0.35">
      <c r="A11" s="1" t="s">
        <v>20</v>
      </c>
      <c r="B11" s="1" t="s">
        <v>61</v>
      </c>
      <c r="C11" s="1">
        <v>184</v>
      </c>
      <c r="D11" s="1" t="s">
        <v>10</v>
      </c>
      <c r="E11" s="2">
        <v>28</v>
      </c>
      <c r="F11" s="3">
        <f t="shared" si="0"/>
        <v>5152</v>
      </c>
    </row>
    <row r="12" spans="1:6" ht="15.5" x14ac:dyDescent="0.35">
      <c r="A12" s="1" t="s">
        <v>22</v>
      </c>
      <c r="B12" s="1" t="s">
        <v>23</v>
      </c>
      <c r="C12" s="1">
        <v>30</v>
      </c>
      <c r="D12" s="1" t="s">
        <v>7</v>
      </c>
      <c r="E12" s="2">
        <v>10</v>
      </c>
      <c r="F12" s="3">
        <f>C12*E12</f>
        <v>300</v>
      </c>
    </row>
    <row r="13" spans="1:6" ht="15.5" x14ac:dyDescent="0.35">
      <c r="A13" s="1" t="s">
        <v>24</v>
      </c>
      <c r="B13" s="1" t="s">
        <v>25</v>
      </c>
      <c r="C13" s="1">
        <v>3000</v>
      </c>
      <c r="D13" s="1" t="s">
        <v>7</v>
      </c>
      <c r="E13" s="2">
        <v>0.15</v>
      </c>
      <c r="F13" s="3">
        <f>C13*E13</f>
        <v>450</v>
      </c>
    </row>
    <row r="14" spans="1:6" ht="15.5" x14ac:dyDescent="0.35">
      <c r="A14" s="1" t="s">
        <v>26</v>
      </c>
      <c r="B14" s="1" t="s">
        <v>27</v>
      </c>
      <c r="C14" s="1">
        <v>35</v>
      </c>
      <c r="D14" s="1" t="s">
        <v>28</v>
      </c>
      <c r="E14" s="2">
        <v>3</v>
      </c>
      <c r="F14" s="3">
        <f t="shared" ref="F14:F27" si="1">C14*E14</f>
        <v>105</v>
      </c>
    </row>
    <row r="15" spans="1:6" ht="15.5" x14ac:dyDescent="0.35">
      <c r="A15" s="1" t="s">
        <v>29</v>
      </c>
      <c r="B15" s="1" t="s">
        <v>30</v>
      </c>
      <c r="C15" s="1">
        <v>65</v>
      </c>
      <c r="D15" s="1" t="s">
        <v>7</v>
      </c>
      <c r="E15" s="2">
        <v>2</v>
      </c>
      <c r="F15" s="3">
        <f t="shared" si="1"/>
        <v>130</v>
      </c>
    </row>
    <row r="16" spans="1:6" ht="15.5" x14ac:dyDescent="0.35">
      <c r="A16" s="1" t="s">
        <v>31</v>
      </c>
      <c r="B16" s="1" t="s">
        <v>32</v>
      </c>
      <c r="C16" s="1">
        <v>10</v>
      </c>
      <c r="D16" s="1" t="s">
        <v>7</v>
      </c>
      <c r="E16" s="2">
        <v>3</v>
      </c>
      <c r="F16" s="3">
        <f t="shared" si="1"/>
        <v>30</v>
      </c>
    </row>
    <row r="17" spans="1:6" ht="15.5" x14ac:dyDescent="0.35">
      <c r="A17" s="1" t="s">
        <v>33</v>
      </c>
      <c r="B17" s="1" t="s">
        <v>34</v>
      </c>
      <c r="C17" s="1">
        <v>8</v>
      </c>
      <c r="D17" s="1" t="s">
        <v>7</v>
      </c>
      <c r="E17" s="2">
        <v>28</v>
      </c>
      <c r="F17" s="3">
        <f t="shared" si="1"/>
        <v>224</v>
      </c>
    </row>
    <row r="18" spans="1:6" ht="15.5" x14ac:dyDescent="0.35">
      <c r="A18" s="1" t="s">
        <v>33</v>
      </c>
      <c r="B18" s="1" t="s">
        <v>35</v>
      </c>
      <c r="C18" s="1">
        <v>8</v>
      </c>
      <c r="D18" s="1" t="s">
        <v>7</v>
      </c>
      <c r="E18" s="2">
        <v>27</v>
      </c>
      <c r="F18" s="3">
        <f t="shared" si="1"/>
        <v>216</v>
      </c>
    </row>
    <row r="19" spans="1:6" ht="15.5" x14ac:dyDescent="0.35">
      <c r="A19" s="1" t="s">
        <v>36</v>
      </c>
      <c r="B19" s="1"/>
      <c r="C19" s="1">
        <v>60</v>
      </c>
      <c r="D19" s="1" t="s">
        <v>37</v>
      </c>
      <c r="E19" s="2">
        <v>5</v>
      </c>
      <c r="F19" s="3">
        <f t="shared" si="1"/>
        <v>300</v>
      </c>
    </row>
    <row r="20" spans="1:6" ht="15.5" x14ac:dyDescent="0.35">
      <c r="A20" s="1" t="s">
        <v>38</v>
      </c>
      <c r="B20" s="1"/>
      <c r="C20" s="1">
        <v>60</v>
      </c>
      <c r="D20" s="1" t="s">
        <v>37</v>
      </c>
      <c r="E20" s="2">
        <v>3</v>
      </c>
      <c r="F20" s="3">
        <f t="shared" si="1"/>
        <v>180</v>
      </c>
    </row>
    <row r="21" spans="1:6" ht="15.5" x14ac:dyDescent="0.35">
      <c r="A21" s="1" t="s">
        <v>39</v>
      </c>
      <c r="B21" s="1"/>
      <c r="C21" s="1">
        <v>20</v>
      </c>
      <c r="D21" s="1" t="s">
        <v>40</v>
      </c>
      <c r="E21" s="2">
        <v>28</v>
      </c>
      <c r="F21" s="3">
        <f t="shared" si="1"/>
        <v>560</v>
      </c>
    </row>
    <row r="22" spans="1:6" ht="15.5" x14ac:dyDescent="0.35">
      <c r="A22" s="1" t="s">
        <v>41</v>
      </c>
      <c r="B22" s="1"/>
      <c r="C22" s="1">
        <v>80</v>
      </c>
      <c r="D22" s="1" t="s">
        <v>42</v>
      </c>
      <c r="E22" s="2">
        <v>13</v>
      </c>
      <c r="F22" s="3">
        <f t="shared" si="1"/>
        <v>1040</v>
      </c>
    </row>
    <row r="23" spans="1:6" ht="15.5" x14ac:dyDescent="0.35">
      <c r="A23" s="1" t="s">
        <v>43</v>
      </c>
      <c r="B23" s="1"/>
      <c r="C23" s="1">
        <v>20</v>
      </c>
      <c r="D23" s="1" t="s">
        <v>40</v>
      </c>
      <c r="E23" s="2">
        <v>23</v>
      </c>
      <c r="F23" s="3">
        <f t="shared" si="1"/>
        <v>460</v>
      </c>
    </row>
    <row r="24" spans="1:6" ht="15.5" x14ac:dyDescent="0.35">
      <c r="A24" s="1" t="s">
        <v>44</v>
      </c>
      <c r="B24" s="1"/>
      <c r="C24" s="1">
        <v>0</v>
      </c>
      <c r="D24" s="1"/>
      <c r="E24" s="2">
        <v>105</v>
      </c>
      <c r="F24" s="3">
        <f t="shared" si="1"/>
        <v>0</v>
      </c>
    </row>
    <row r="25" spans="1:6" ht="15.5" x14ac:dyDescent="0.35">
      <c r="A25" s="1" t="s">
        <v>45</v>
      </c>
      <c r="B25" s="1" t="s">
        <v>46</v>
      </c>
      <c r="C25" s="1">
        <v>0</v>
      </c>
      <c r="D25" s="1"/>
      <c r="E25" s="2">
        <v>47</v>
      </c>
      <c r="F25" s="3">
        <f t="shared" si="1"/>
        <v>0</v>
      </c>
    </row>
    <row r="26" spans="1:6" ht="15.5" x14ac:dyDescent="0.35">
      <c r="A26" s="1" t="s">
        <v>47</v>
      </c>
      <c r="B26" s="1" t="s">
        <v>48</v>
      </c>
      <c r="C26" s="1">
        <v>0</v>
      </c>
      <c r="D26" s="1"/>
      <c r="E26" s="2">
        <v>1</v>
      </c>
      <c r="F26" s="3">
        <f t="shared" si="1"/>
        <v>0</v>
      </c>
    </row>
    <row r="27" spans="1:6" ht="15.5" x14ac:dyDescent="0.35">
      <c r="A27" s="1" t="s">
        <v>49</v>
      </c>
      <c r="B27" s="1" t="s">
        <v>50</v>
      </c>
      <c r="C27" s="1">
        <v>1</v>
      </c>
      <c r="D27" s="1"/>
      <c r="E27" s="2">
        <v>8551.7000000000007</v>
      </c>
      <c r="F27" s="3">
        <f t="shared" si="1"/>
        <v>8551.7000000000007</v>
      </c>
    </row>
    <row r="28" spans="1:6" ht="15.5" x14ac:dyDescent="0.35">
      <c r="A28" s="5" t="s">
        <v>59</v>
      </c>
      <c r="B28" s="5" t="s">
        <v>50</v>
      </c>
      <c r="C28" s="5"/>
      <c r="D28" s="5"/>
      <c r="E28" s="10"/>
      <c r="F28" s="6">
        <f>SUM(F2:F27)</f>
        <v>26162.7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3A657-769E-4D1B-9073-E88866068AA8}">
  <dimension ref="A1:F28"/>
  <sheetViews>
    <sheetView workbookViewId="0">
      <selection activeCell="E2" sqref="E2"/>
    </sheetView>
  </sheetViews>
  <sheetFormatPr defaultRowHeight="14.5" x14ac:dyDescent="0.35"/>
  <cols>
    <col min="1" max="1" width="32.6328125" customWidth="1"/>
    <col min="2" max="2" width="26.453125" customWidth="1"/>
    <col min="3" max="3" width="12.81640625" customWidth="1"/>
    <col min="4" max="4" width="24.1796875" customWidth="1"/>
    <col min="5" max="6" width="20.6328125"/>
  </cols>
  <sheetData>
    <row r="1" spans="1:6" ht="15.5" x14ac:dyDescent="0.35">
      <c r="A1" s="1" t="s">
        <v>0</v>
      </c>
      <c r="B1" s="1" t="s">
        <v>51</v>
      </c>
      <c r="C1" s="1" t="s">
        <v>1</v>
      </c>
      <c r="D1" s="1" t="s">
        <v>52</v>
      </c>
      <c r="E1" s="3" t="s">
        <v>53</v>
      </c>
      <c r="F1" s="3" t="s">
        <v>54</v>
      </c>
    </row>
    <row r="2" spans="1:6" ht="15.5" x14ac:dyDescent="0.35">
      <c r="A2" s="1" t="s">
        <v>2</v>
      </c>
      <c r="B2" s="1" t="s">
        <v>3</v>
      </c>
      <c r="C2" s="1">
        <v>15</v>
      </c>
      <c r="D2" s="1" t="s">
        <v>4</v>
      </c>
      <c r="E2" s="2">
        <v>65</v>
      </c>
      <c r="F2" s="3">
        <f>C2*E2</f>
        <v>975</v>
      </c>
    </row>
    <row r="3" spans="1:6" ht="15.5" x14ac:dyDescent="0.35">
      <c r="A3" s="1" t="s">
        <v>5</v>
      </c>
      <c r="B3" s="1" t="s">
        <v>6</v>
      </c>
      <c r="C3" s="1">
        <v>84</v>
      </c>
      <c r="D3" s="1" t="s">
        <v>7</v>
      </c>
      <c r="E3" s="2">
        <v>55</v>
      </c>
      <c r="F3" s="3">
        <f t="shared" ref="F3:F11" si="0">C3*E3</f>
        <v>4620</v>
      </c>
    </row>
    <row r="4" spans="1:6" ht="15.5" x14ac:dyDescent="0.35">
      <c r="A4" s="1" t="s">
        <v>8</v>
      </c>
      <c r="B4" s="1" t="s">
        <v>9</v>
      </c>
      <c r="C4" s="1">
        <v>2</v>
      </c>
      <c r="D4" s="1" t="s">
        <v>10</v>
      </c>
      <c r="E4" s="2">
        <v>100</v>
      </c>
      <c r="F4" s="3">
        <f t="shared" si="0"/>
        <v>200</v>
      </c>
    </row>
    <row r="5" spans="1:6" ht="15.5" x14ac:dyDescent="0.35">
      <c r="A5" s="1" t="s">
        <v>8</v>
      </c>
      <c r="B5" s="1" t="s">
        <v>11</v>
      </c>
      <c r="C5" s="1">
        <v>2</v>
      </c>
      <c r="D5" s="1" t="s">
        <v>10</v>
      </c>
      <c r="E5" s="2">
        <v>60</v>
      </c>
      <c r="F5" s="3">
        <f t="shared" si="0"/>
        <v>120</v>
      </c>
    </row>
    <row r="6" spans="1:6" ht="15.5" x14ac:dyDescent="0.35">
      <c r="A6" s="1" t="s">
        <v>12</v>
      </c>
      <c r="B6" s="1" t="s">
        <v>13</v>
      </c>
      <c r="C6" s="1">
        <v>44</v>
      </c>
      <c r="D6" s="1" t="s">
        <v>10</v>
      </c>
      <c r="E6" s="2">
        <v>34</v>
      </c>
      <c r="F6" s="3">
        <f t="shared" si="0"/>
        <v>1496</v>
      </c>
    </row>
    <row r="7" spans="1:6" ht="15.5" x14ac:dyDescent="0.35">
      <c r="A7" s="1" t="s">
        <v>12</v>
      </c>
      <c r="B7" s="1" t="s">
        <v>14</v>
      </c>
      <c r="C7" s="1">
        <v>55</v>
      </c>
      <c r="D7" s="1" t="s">
        <v>10</v>
      </c>
      <c r="E7" s="2">
        <v>25</v>
      </c>
      <c r="F7" s="3">
        <f t="shared" si="0"/>
        <v>1375</v>
      </c>
    </row>
    <row r="8" spans="1:6" ht="15.5" x14ac:dyDescent="0.35">
      <c r="A8" s="1" t="s">
        <v>15</v>
      </c>
      <c r="B8" s="1" t="s">
        <v>16</v>
      </c>
      <c r="C8" s="1">
        <v>250</v>
      </c>
      <c r="D8" s="1" t="s">
        <v>7</v>
      </c>
      <c r="E8" s="2">
        <v>0.5</v>
      </c>
      <c r="F8" s="3">
        <f t="shared" si="0"/>
        <v>125</v>
      </c>
    </row>
    <row r="9" spans="1:6" ht="15.5" x14ac:dyDescent="0.35">
      <c r="A9" s="1" t="s">
        <v>15</v>
      </c>
      <c r="B9" s="1" t="s">
        <v>17</v>
      </c>
      <c r="C9" s="1">
        <v>300</v>
      </c>
      <c r="D9" s="1" t="s">
        <v>7</v>
      </c>
      <c r="E9" s="2">
        <v>0.3</v>
      </c>
      <c r="F9" s="3">
        <f t="shared" si="0"/>
        <v>90</v>
      </c>
    </row>
    <row r="10" spans="1:6" ht="15.5" x14ac:dyDescent="0.35">
      <c r="A10" s="1" t="s">
        <v>18</v>
      </c>
      <c r="B10" s="1" t="s">
        <v>19</v>
      </c>
      <c r="C10" s="1">
        <v>250</v>
      </c>
      <c r="D10" s="1" t="s">
        <v>7</v>
      </c>
      <c r="E10" s="2">
        <v>0.1</v>
      </c>
      <c r="F10" s="3">
        <f t="shared" si="0"/>
        <v>25</v>
      </c>
    </row>
    <row r="11" spans="1:6" ht="15.5" x14ac:dyDescent="0.35">
      <c r="A11" s="1" t="s">
        <v>20</v>
      </c>
      <c r="B11" s="1" t="s">
        <v>61</v>
      </c>
      <c r="C11" s="1">
        <v>140</v>
      </c>
      <c r="D11" s="1" t="s">
        <v>10</v>
      </c>
      <c r="E11" s="2">
        <v>28</v>
      </c>
      <c r="F11" s="3">
        <f t="shared" si="0"/>
        <v>3920</v>
      </c>
    </row>
    <row r="12" spans="1:6" ht="15.5" x14ac:dyDescent="0.35">
      <c r="A12" s="1" t="s">
        <v>22</v>
      </c>
      <c r="B12" s="1" t="s">
        <v>23</v>
      </c>
      <c r="C12" s="1">
        <v>35</v>
      </c>
      <c r="D12" s="1" t="s">
        <v>7</v>
      </c>
      <c r="E12" s="2">
        <v>10</v>
      </c>
      <c r="F12" s="3">
        <f>C12*E12</f>
        <v>350</v>
      </c>
    </row>
    <row r="13" spans="1:6" ht="15.5" x14ac:dyDescent="0.35">
      <c r="A13" s="1" t="s">
        <v>24</v>
      </c>
      <c r="B13" s="1" t="s">
        <v>25</v>
      </c>
      <c r="C13" s="1">
        <v>2500</v>
      </c>
      <c r="D13" s="1" t="s">
        <v>7</v>
      </c>
      <c r="E13" s="2">
        <v>0.15</v>
      </c>
      <c r="F13" s="3">
        <f>C13*E13</f>
        <v>375</v>
      </c>
    </row>
    <row r="14" spans="1:6" ht="15.5" x14ac:dyDescent="0.35">
      <c r="A14" s="1" t="s">
        <v>26</v>
      </c>
      <c r="B14" s="1" t="s">
        <v>27</v>
      </c>
      <c r="C14" s="1">
        <v>40</v>
      </c>
      <c r="D14" s="1" t="s">
        <v>28</v>
      </c>
      <c r="E14" s="2">
        <v>3</v>
      </c>
      <c r="F14" s="3">
        <f t="shared" ref="F14:F27" si="1">C14*E14</f>
        <v>120</v>
      </c>
    </row>
    <row r="15" spans="1:6" ht="15.5" x14ac:dyDescent="0.35">
      <c r="A15" s="1" t="s">
        <v>29</v>
      </c>
      <c r="B15" s="1" t="s">
        <v>30</v>
      </c>
      <c r="C15" s="1">
        <v>40</v>
      </c>
      <c r="D15" s="1" t="s">
        <v>7</v>
      </c>
      <c r="E15" s="2">
        <v>2</v>
      </c>
      <c r="F15" s="3">
        <f t="shared" si="1"/>
        <v>80</v>
      </c>
    </row>
    <row r="16" spans="1:6" ht="15.5" x14ac:dyDescent="0.35">
      <c r="A16" s="1" t="s">
        <v>31</v>
      </c>
      <c r="B16" s="1" t="s">
        <v>32</v>
      </c>
      <c r="C16" s="1">
        <v>10</v>
      </c>
      <c r="D16" s="1" t="s">
        <v>7</v>
      </c>
      <c r="E16" s="2">
        <v>3</v>
      </c>
      <c r="F16" s="3">
        <f t="shared" si="1"/>
        <v>30</v>
      </c>
    </row>
    <row r="17" spans="1:6" ht="15.5" x14ac:dyDescent="0.35">
      <c r="A17" s="1" t="s">
        <v>33</v>
      </c>
      <c r="B17" s="1" t="s">
        <v>34</v>
      </c>
      <c r="C17" s="1">
        <v>10</v>
      </c>
      <c r="D17" s="1" t="s">
        <v>7</v>
      </c>
      <c r="E17" s="2">
        <v>28</v>
      </c>
      <c r="F17" s="3">
        <f t="shared" si="1"/>
        <v>280</v>
      </c>
    </row>
    <row r="18" spans="1:6" ht="15.5" x14ac:dyDescent="0.35">
      <c r="A18" s="1" t="s">
        <v>33</v>
      </c>
      <c r="B18" s="1" t="s">
        <v>35</v>
      </c>
      <c r="C18" s="1">
        <v>10</v>
      </c>
      <c r="D18" s="1" t="s">
        <v>7</v>
      </c>
      <c r="E18" s="2">
        <v>27</v>
      </c>
      <c r="F18" s="3">
        <f t="shared" si="1"/>
        <v>270</v>
      </c>
    </row>
    <row r="19" spans="1:6" ht="15.5" x14ac:dyDescent="0.35">
      <c r="A19" s="1" t="s">
        <v>36</v>
      </c>
      <c r="B19" s="1"/>
      <c r="C19" s="1">
        <v>80</v>
      </c>
      <c r="D19" s="1" t="s">
        <v>37</v>
      </c>
      <c r="E19" s="2">
        <v>5</v>
      </c>
      <c r="F19" s="3">
        <f t="shared" si="1"/>
        <v>400</v>
      </c>
    </row>
    <row r="20" spans="1:6" ht="15.5" x14ac:dyDescent="0.35">
      <c r="A20" s="1" t="s">
        <v>38</v>
      </c>
      <c r="B20" s="1"/>
      <c r="C20" s="1">
        <v>90</v>
      </c>
      <c r="D20" s="1" t="s">
        <v>37</v>
      </c>
      <c r="E20" s="2">
        <v>3</v>
      </c>
      <c r="F20" s="3">
        <f t="shared" si="1"/>
        <v>270</v>
      </c>
    </row>
    <row r="21" spans="1:6" ht="15.5" x14ac:dyDescent="0.35">
      <c r="A21" s="1" t="s">
        <v>39</v>
      </c>
      <c r="B21" s="1"/>
      <c r="C21" s="1">
        <v>15</v>
      </c>
      <c r="D21" s="1" t="s">
        <v>40</v>
      </c>
      <c r="E21" s="2">
        <v>28</v>
      </c>
      <c r="F21" s="3">
        <f t="shared" si="1"/>
        <v>420</v>
      </c>
    </row>
    <row r="22" spans="1:6" ht="15.5" x14ac:dyDescent="0.35">
      <c r="A22" s="1" t="s">
        <v>41</v>
      </c>
      <c r="B22" s="1"/>
      <c r="C22" s="1">
        <v>80</v>
      </c>
      <c r="D22" s="1" t="s">
        <v>42</v>
      </c>
      <c r="E22" s="2">
        <v>13</v>
      </c>
      <c r="F22" s="3">
        <f t="shared" si="1"/>
        <v>1040</v>
      </c>
    </row>
    <row r="23" spans="1:6" ht="15.5" x14ac:dyDescent="0.35">
      <c r="A23" s="1" t="s">
        <v>43</v>
      </c>
      <c r="B23" s="1"/>
      <c r="C23" s="1">
        <v>15</v>
      </c>
      <c r="D23" s="1" t="s">
        <v>40</v>
      </c>
      <c r="E23" s="2">
        <v>23</v>
      </c>
      <c r="F23" s="3">
        <f t="shared" si="1"/>
        <v>345</v>
      </c>
    </row>
    <row r="24" spans="1:6" ht="15.5" x14ac:dyDescent="0.35">
      <c r="A24" s="1" t="s">
        <v>44</v>
      </c>
      <c r="B24" s="1"/>
      <c r="C24" s="1">
        <v>0</v>
      </c>
      <c r="D24" s="1"/>
      <c r="E24" s="2">
        <v>105</v>
      </c>
      <c r="F24" s="3">
        <f t="shared" si="1"/>
        <v>0</v>
      </c>
    </row>
    <row r="25" spans="1:6" ht="15.5" x14ac:dyDescent="0.35">
      <c r="A25" s="1" t="s">
        <v>45</v>
      </c>
      <c r="B25" s="1" t="s">
        <v>46</v>
      </c>
      <c r="C25" s="1">
        <v>0</v>
      </c>
      <c r="D25" s="1"/>
      <c r="E25" s="2">
        <v>47</v>
      </c>
      <c r="F25" s="3">
        <f t="shared" si="1"/>
        <v>0</v>
      </c>
    </row>
    <row r="26" spans="1:6" ht="15.5" x14ac:dyDescent="0.35">
      <c r="A26" s="1" t="s">
        <v>47</v>
      </c>
      <c r="B26" s="1" t="s">
        <v>48</v>
      </c>
      <c r="C26" s="1">
        <v>0</v>
      </c>
      <c r="D26" s="1"/>
      <c r="E26" s="2">
        <v>1</v>
      </c>
      <c r="F26" s="3">
        <f t="shared" si="1"/>
        <v>0</v>
      </c>
    </row>
    <row r="27" spans="1:6" ht="15.5" x14ac:dyDescent="0.35">
      <c r="A27" s="1" t="s">
        <v>49</v>
      </c>
      <c r="B27" s="1"/>
      <c r="C27" s="1">
        <v>1</v>
      </c>
      <c r="D27" s="1"/>
      <c r="E27" s="2">
        <v>9910.4500000000007</v>
      </c>
      <c r="F27" s="3">
        <f t="shared" si="1"/>
        <v>9910.4500000000007</v>
      </c>
    </row>
    <row r="28" spans="1:6" ht="15.5" x14ac:dyDescent="0.35">
      <c r="A28" s="5" t="s">
        <v>59</v>
      </c>
      <c r="B28" s="7" t="s">
        <v>50</v>
      </c>
      <c r="C28" s="7"/>
      <c r="D28" s="7"/>
      <c r="E28" s="9"/>
      <c r="F28" s="8">
        <f>SUM(F2:F27)</f>
        <v>26836.45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5CD39-461A-4360-B089-67BAE837A2E1}">
  <dimension ref="A1:F28"/>
  <sheetViews>
    <sheetView tabSelected="1" topLeftCell="A6" workbookViewId="0">
      <selection activeCell="C15" sqref="C15"/>
    </sheetView>
  </sheetViews>
  <sheetFormatPr defaultRowHeight="14.5" x14ac:dyDescent="0.35"/>
  <cols>
    <col min="1" max="1" width="32.6328125" customWidth="1"/>
    <col min="2" max="2" width="26.453125" customWidth="1"/>
    <col min="3" max="3" width="12.81640625" customWidth="1"/>
    <col min="4" max="4" width="24.1796875" customWidth="1"/>
    <col min="5" max="6" width="20.6328125"/>
  </cols>
  <sheetData>
    <row r="1" spans="1:6" ht="15.5" x14ac:dyDescent="0.35">
      <c r="A1" s="1" t="s">
        <v>0</v>
      </c>
      <c r="B1" s="1" t="s">
        <v>51</v>
      </c>
      <c r="C1" s="1" t="s">
        <v>1</v>
      </c>
      <c r="D1" s="1" t="s">
        <v>52</v>
      </c>
      <c r="E1" s="3" t="s">
        <v>53</v>
      </c>
      <c r="F1" s="3" t="s">
        <v>54</v>
      </c>
    </row>
    <row r="2" spans="1:6" ht="15.5" x14ac:dyDescent="0.35">
      <c r="A2" s="1" t="s">
        <v>2</v>
      </c>
      <c r="B2" s="1" t="s">
        <v>3</v>
      </c>
      <c r="C2" s="1">
        <v>7</v>
      </c>
      <c r="D2" s="1" t="s">
        <v>4</v>
      </c>
      <c r="E2" s="2">
        <v>65</v>
      </c>
      <c r="F2" s="3">
        <f>C2*E2</f>
        <v>455</v>
      </c>
    </row>
    <row r="3" spans="1:6" ht="15.5" x14ac:dyDescent="0.35">
      <c r="A3" s="1" t="s">
        <v>5</v>
      </c>
      <c r="B3" s="1" t="s">
        <v>6</v>
      </c>
      <c r="C3" s="1">
        <v>34</v>
      </c>
      <c r="D3" s="1" t="s">
        <v>7</v>
      </c>
      <c r="E3" s="2">
        <v>55</v>
      </c>
      <c r="F3" s="3">
        <f t="shared" ref="F3:F11" si="0">C3*E3</f>
        <v>1870</v>
      </c>
    </row>
    <row r="4" spans="1:6" ht="15.5" x14ac:dyDescent="0.35">
      <c r="A4" s="1" t="s">
        <v>8</v>
      </c>
      <c r="B4" s="1" t="s">
        <v>9</v>
      </c>
      <c r="C4" s="1">
        <v>1</v>
      </c>
      <c r="D4" s="1" t="s">
        <v>10</v>
      </c>
      <c r="E4" s="2">
        <v>100</v>
      </c>
      <c r="F4" s="3">
        <f t="shared" si="0"/>
        <v>100</v>
      </c>
    </row>
    <row r="5" spans="1:6" ht="15.5" x14ac:dyDescent="0.35">
      <c r="A5" s="1" t="s">
        <v>8</v>
      </c>
      <c r="B5" s="1" t="s">
        <v>11</v>
      </c>
      <c r="C5" s="1">
        <v>2</v>
      </c>
      <c r="D5" s="1" t="s">
        <v>10</v>
      </c>
      <c r="E5" s="2">
        <v>60</v>
      </c>
      <c r="F5" s="3">
        <f t="shared" si="0"/>
        <v>120</v>
      </c>
    </row>
    <row r="6" spans="1:6" ht="15.5" x14ac:dyDescent="0.35">
      <c r="A6" s="1" t="s">
        <v>12</v>
      </c>
      <c r="B6" s="1" t="s">
        <v>13</v>
      </c>
      <c r="C6" s="1">
        <v>44</v>
      </c>
      <c r="D6" s="1" t="s">
        <v>10</v>
      </c>
      <c r="E6" s="2">
        <v>34</v>
      </c>
      <c r="F6" s="3">
        <f t="shared" si="0"/>
        <v>1496</v>
      </c>
    </row>
    <row r="7" spans="1:6" ht="15.5" x14ac:dyDescent="0.35">
      <c r="A7" s="1" t="s">
        <v>12</v>
      </c>
      <c r="B7" s="1" t="s">
        <v>14</v>
      </c>
      <c r="C7" s="1">
        <v>55</v>
      </c>
      <c r="D7" s="1" t="s">
        <v>10</v>
      </c>
      <c r="E7" s="2">
        <v>25</v>
      </c>
      <c r="F7" s="3">
        <f t="shared" si="0"/>
        <v>1375</v>
      </c>
    </row>
    <row r="8" spans="1:6" ht="15.5" x14ac:dyDescent="0.35">
      <c r="A8" s="1" t="s">
        <v>15</v>
      </c>
      <c r="B8" s="1" t="s">
        <v>16</v>
      </c>
      <c r="C8" s="1">
        <v>250</v>
      </c>
      <c r="D8" s="1" t="s">
        <v>7</v>
      </c>
      <c r="E8" s="2">
        <v>0.5</v>
      </c>
      <c r="F8" s="3">
        <f t="shared" si="0"/>
        <v>125</v>
      </c>
    </row>
    <row r="9" spans="1:6" ht="15.5" x14ac:dyDescent="0.35">
      <c r="A9" s="1" t="s">
        <v>15</v>
      </c>
      <c r="B9" s="1" t="s">
        <v>17</v>
      </c>
      <c r="C9" s="1">
        <v>300</v>
      </c>
      <c r="D9" s="1" t="s">
        <v>7</v>
      </c>
      <c r="E9" s="2">
        <v>0.3</v>
      </c>
      <c r="F9" s="3">
        <f t="shared" si="0"/>
        <v>90</v>
      </c>
    </row>
    <row r="10" spans="1:6" ht="15.5" x14ac:dyDescent="0.35">
      <c r="A10" s="1" t="s">
        <v>18</v>
      </c>
      <c r="B10" s="1" t="s">
        <v>19</v>
      </c>
      <c r="C10" s="1">
        <v>250</v>
      </c>
      <c r="D10" s="1" t="s">
        <v>7</v>
      </c>
      <c r="E10" s="2">
        <v>0.1</v>
      </c>
      <c r="F10" s="3">
        <f t="shared" si="0"/>
        <v>25</v>
      </c>
    </row>
    <row r="11" spans="1:6" ht="15.5" x14ac:dyDescent="0.35">
      <c r="A11" s="1" t="s">
        <v>20</v>
      </c>
      <c r="B11" s="1" t="s">
        <v>62</v>
      </c>
      <c r="C11" s="1">
        <v>112</v>
      </c>
      <c r="D11" s="1" t="s">
        <v>10</v>
      </c>
      <c r="E11" s="2">
        <v>28</v>
      </c>
      <c r="F11" s="3">
        <f t="shared" si="0"/>
        <v>3136</v>
      </c>
    </row>
    <row r="12" spans="1:6" ht="15.5" x14ac:dyDescent="0.35">
      <c r="A12" s="1" t="s">
        <v>22</v>
      </c>
      <c r="B12" s="1" t="s">
        <v>23</v>
      </c>
      <c r="C12" s="1">
        <v>22</v>
      </c>
      <c r="D12" s="1" t="s">
        <v>7</v>
      </c>
      <c r="E12" s="2">
        <v>10</v>
      </c>
      <c r="F12" s="3">
        <f>C12*E12</f>
        <v>220</v>
      </c>
    </row>
    <row r="13" spans="1:6" ht="15.5" x14ac:dyDescent="0.35">
      <c r="A13" s="1" t="s">
        <v>24</v>
      </c>
      <c r="B13" s="1" t="s">
        <v>25</v>
      </c>
      <c r="C13" s="1">
        <v>2500</v>
      </c>
      <c r="D13" s="1" t="s">
        <v>7</v>
      </c>
      <c r="E13" s="2">
        <v>0.15</v>
      </c>
      <c r="F13" s="3">
        <f>C13*E13</f>
        <v>375</v>
      </c>
    </row>
    <row r="14" spans="1:6" ht="15.5" x14ac:dyDescent="0.35">
      <c r="A14" s="1" t="s">
        <v>26</v>
      </c>
      <c r="B14" s="1" t="s">
        <v>27</v>
      </c>
      <c r="C14" s="1">
        <v>40</v>
      </c>
      <c r="D14" s="1" t="s">
        <v>28</v>
      </c>
      <c r="E14" s="2">
        <v>3</v>
      </c>
      <c r="F14" s="3">
        <f t="shared" ref="F14:F27" si="1">C14*E14</f>
        <v>120</v>
      </c>
    </row>
    <row r="15" spans="1:6" ht="15.5" x14ac:dyDescent="0.35">
      <c r="A15" s="1" t="s">
        <v>29</v>
      </c>
      <c r="B15" s="1" t="s">
        <v>30</v>
      </c>
      <c r="C15" s="1">
        <v>40</v>
      </c>
      <c r="D15" s="1" t="s">
        <v>7</v>
      </c>
      <c r="E15" s="2">
        <v>2</v>
      </c>
      <c r="F15" s="3">
        <f t="shared" si="1"/>
        <v>80</v>
      </c>
    </row>
    <row r="16" spans="1:6" ht="15.5" x14ac:dyDescent="0.35">
      <c r="A16" s="1" t="s">
        <v>31</v>
      </c>
      <c r="B16" s="1" t="s">
        <v>32</v>
      </c>
      <c r="C16" s="1">
        <v>60</v>
      </c>
      <c r="D16" s="1" t="s">
        <v>7</v>
      </c>
      <c r="E16" s="2">
        <v>3</v>
      </c>
      <c r="F16" s="3">
        <f t="shared" si="1"/>
        <v>180</v>
      </c>
    </row>
    <row r="17" spans="1:6" ht="15.5" x14ac:dyDescent="0.35">
      <c r="A17" s="1" t="s">
        <v>33</v>
      </c>
      <c r="B17" s="1" t="s">
        <v>34</v>
      </c>
      <c r="C17" s="1">
        <v>10</v>
      </c>
      <c r="D17" s="1" t="s">
        <v>7</v>
      </c>
      <c r="E17" s="2">
        <v>28</v>
      </c>
      <c r="F17" s="3">
        <f t="shared" si="1"/>
        <v>280</v>
      </c>
    </row>
    <row r="18" spans="1:6" ht="15.5" x14ac:dyDescent="0.35">
      <c r="A18" s="1" t="s">
        <v>33</v>
      </c>
      <c r="B18" s="1" t="s">
        <v>35</v>
      </c>
      <c r="C18" s="1">
        <v>10</v>
      </c>
      <c r="D18" s="1" t="s">
        <v>7</v>
      </c>
      <c r="E18" s="2">
        <v>27</v>
      </c>
      <c r="F18" s="3">
        <f t="shared" si="1"/>
        <v>270</v>
      </c>
    </row>
    <row r="19" spans="1:6" ht="15.5" x14ac:dyDescent="0.35">
      <c r="A19" s="1" t="s">
        <v>36</v>
      </c>
      <c r="B19" s="1"/>
      <c r="C19" s="1">
        <v>80</v>
      </c>
      <c r="D19" s="1" t="s">
        <v>37</v>
      </c>
      <c r="E19" s="2">
        <v>5</v>
      </c>
      <c r="F19" s="3">
        <f t="shared" si="1"/>
        <v>400</v>
      </c>
    </row>
    <row r="20" spans="1:6" ht="15.5" x14ac:dyDescent="0.35">
      <c r="A20" s="1" t="s">
        <v>38</v>
      </c>
      <c r="B20" s="1"/>
      <c r="C20" s="1">
        <v>90</v>
      </c>
      <c r="D20" s="1" t="s">
        <v>37</v>
      </c>
      <c r="E20" s="2">
        <v>3</v>
      </c>
      <c r="F20" s="3">
        <f t="shared" si="1"/>
        <v>270</v>
      </c>
    </row>
    <row r="21" spans="1:6" ht="15.5" x14ac:dyDescent="0.35">
      <c r="A21" s="1" t="s">
        <v>39</v>
      </c>
      <c r="B21" s="1"/>
      <c r="C21" s="1">
        <v>10</v>
      </c>
      <c r="D21" s="1" t="s">
        <v>40</v>
      </c>
      <c r="E21" s="2">
        <v>28</v>
      </c>
      <c r="F21" s="3">
        <f t="shared" si="1"/>
        <v>280</v>
      </c>
    </row>
    <row r="22" spans="1:6" ht="15.5" x14ac:dyDescent="0.35">
      <c r="A22" s="1" t="s">
        <v>41</v>
      </c>
      <c r="B22" s="1"/>
      <c r="C22" s="1">
        <v>20</v>
      </c>
      <c r="D22" s="1" t="s">
        <v>42</v>
      </c>
      <c r="E22" s="2">
        <v>13</v>
      </c>
      <c r="F22" s="3">
        <f t="shared" si="1"/>
        <v>260</v>
      </c>
    </row>
    <row r="23" spans="1:6" ht="15.5" x14ac:dyDescent="0.35">
      <c r="A23" s="1" t="s">
        <v>43</v>
      </c>
      <c r="B23" s="1"/>
      <c r="C23" s="1">
        <v>10</v>
      </c>
      <c r="D23" s="1" t="s">
        <v>40</v>
      </c>
      <c r="E23" s="2">
        <v>23</v>
      </c>
      <c r="F23" s="3">
        <f t="shared" si="1"/>
        <v>230</v>
      </c>
    </row>
    <row r="24" spans="1:6" ht="15.5" x14ac:dyDescent="0.35">
      <c r="A24" s="1" t="s">
        <v>44</v>
      </c>
      <c r="B24" s="1"/>
      <c r="C24" s="1">
        <v>0</v>
      </c>
      <c r="D24" s="1"/>
      <c r="E24" s="2">
        <v>105</v>
      </c>
      <c r="F24" s="3">
        <f t="shared" si="1"/>
        <v>0</v>
      </c>
    </row>
    <row r="25" spans="1:6" ht="15.5" x14ac:dyDescent="0.35">
      <c r="A25" s="1" t="s">
        <v>45</v>
      </c>
      <c r="B25" s="1" t="s">
        <v>46</v>
      </c>
      <c r="C25" s="1">
        <v>0</v>
      </c>
      <c r="D25" s="1"/>
      <c r="E25" s="2">
        <v>47</v>
      </c>
      <c r="F25" s="3">
        <f t="shared" si="1"/>
        <v>0</v>
      </c>
    </row>
    <row r="26" spans="1:6" ht="15.5" x14ac:dyDescent="0.35">
      <c r="A26" s="1" t="s">
        <v>47</v>
      </c>
      <c r="B26" s="1" t="s">
        <v>48</v>
      </c>
      <c r="C26" s="1">
        <v>0</v>
      </c>
      <c r="D26" s="1"/>
      <c r="E26" s="2">
        <v>1</v>
      </c>
      <c r="F26" s="3">
        <f t="shared" si="1"/>
        <v>0</v>
      </c>
    </row>
    <row r="27" spans="1:6" ht="15.5" x14ac:dyDescent="0.35">
      <c r="A27" s="1" t="s">
        <v>49</v>
      </c>
      <c r="B27" s="1"/>
      <c r="C27" s="1">
        <v>1</v>
      </c>
      <c r="D27" s="1"/>
      <c r="E27" s="2">
        <v>7505</v>
      </c>
      <c r="F27" s="3">
        <f t="shared" si="1"/>
        <v>7505</v>
      </c>
    </row>
    <row r="28" spans="1:6" ht="15.5" x14ac:dyDescent="0.35">
      <c r="A28" s="5" t="s">
        <v>59</v>
      </c>
      <c r="B28" s="5"/>
      <c r="C28" s="5"/>
      <c r="D28" s="5"/>
      <c r="E28" s="10"/>
      <c r="F28" s="6">
        <f>SUM(F2:F27)</f>
        <v>19262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315AB-C1C7-4CD9-AD6D-6AE4683E93F3}">
  <dimension ref="A1:F27"/>
  <sheetViews>
    <sheetView workbookViewId="0">
      <selection activeCell="H15" sqref="H15"/>
    </sheetView>
  </sheetViews>
  <sheetFormatPr defaultRowHeight="14.5" x14ac:dyDescent="0.35"/>
  <cols>
    <col min="1" max="1" width="32.6328125" customWidth="1"/>
    <col min="2" max="2" width="26.453125" customWidth="1"/>
    <col min="3" max="3" width="12.81640625" customWidth="1"/>
    <col min="4" max="4" width="24.1796875" customWidth="1"/>
    <col min="5" max="6" width="20.6328125"/>
  </cols>
  <sheetData>
    <row r="1" spans="1:6" ht="15.5" x14ac:dyDescent="0.35">
      <c r="A1" s="1" t="s">
        <v>0</v>
      </c>
      <c r="B1" s="1" t="s">
        <v>51</v>
      </c>
      <c r="C1" s="1" t="s">
        <v>1</v>
      </c>
      <c r="D1" s="1" t="s">
        <v>52</v>
      </c>
      <c r="E1" s="3" t="s">
        <v>53</v>
      </c>
      <c r="F1" s="3" t="s">
        <v>54</v>
      </c>
    </row>
    <row r="2" spans="1:6" ht="15.5" x14ac:dyDescent="0.35">
      <c r="A2" s="1" t="s">
        <v>2</v>
      </c>
      <c r="B2" s="1" t="s">
        <v>3</v>
      </c>
      <c r="C2" s="1">
        <v>46</v>
      </c>
      <c r="D2" s="1" t="s">
        <v>4</v>
      </c>
      <c r="E2" s="2">
        <v>55</v>
      </c>
      <c r="F2" s="3">
        <f>C2*E2</f>
        <v>2530</v>
      </c>
    </row>
    <row r="3" spans="1:6" ht="15.5" x14ac:dyDescent="0.35">
      <c r="A3" s="1" t="s">
        <v>5</v>
      </c>
      <c r="B3" s="1" t="s">
        <v>6</v>
      </c>
      <c r="C3" s="1">
        <v>95</v>
      </c>
      <c r="D3" s="1" t="s">
        <v>7</v>
      </c>
      <c r="E3" s="2">
        <v>55</v>
      </c>
      <c r="F3" s="3">
        <f t="shared" ref="F3:F11" si="0">C3*E3</f>
        <v>5225</v>
      </c>
    </row>
    <row r="4" spans="1:6" ht="15.5" x14ac:dyDescent="0.35">
      <c r="A4" s="1" t="s">
        <v>8</v>
      </c>
      <c r="B4" s="1" t="s">
        <v>9</v>
      </c>
      <c r="C4" s="1">
        <v>4</v>
      </c>
      <c r="D4" s="1" t="s">
        <v>10</v>
      </c>
      <c r="E4" s="2">
        <v>100</v>
      </c>
      <c r="F4" s="3">
        <f t="shared" si="0"/>
        <v>400</v>
      </c>
    </row>
    <row r="5" spans="1:6" ht="15.5" x14ac:dyDescent="0.35">
      <c r="A5" s="1" t="s">
        <v>8</v>
      </c>
      <c r="B5" s="1" t="s">
        <v>11</v>
      </c>
      <c r="C5" s="1">
        <v>6</v>
      </c>
      <c r="D5" s="1" t="s">
        <v>10</v>
      </c>
      <c r="E5" s="2">
        <v>60</v>
      </c>
      <c r="F5" s="3">
        <f t="shared" si="0"/>
        <v>360</v>
      </c>
    </row>
    <row r="6" spans="1:6" ht="15.5" x14ac:dyDescent="0.35">
      <c r="A6" s="1" t="s">
        <v>12</v>
      </c>
      <c r="B6" s="1" t="s">
        <v>13</v>
      </c>
      <c r="C6" s="1">
        <v>80</v>
      </c>
      <c r="D6" s="1" t="s">
        <v>10</v>
      </c>
      <c r="E6" s="2">
        <v>9.5</v>
      </c>
      <c r="F6" s="3">
        <f t="shared" si="0"/>
        <v>760</v>
      </c>
    </row>
    <row r="7" spans="1:6" ht="15.5" x14ac:dyDescent="0.35">
      <c r="A7" s="1" t="s">
        <v>12</v>
      </c>
      <c r="B7" s="1" t="s">
        <v>14</v>
      </c>
      <c r="C7" s="1">
        <v>158</v>
      </c>
      <c r="D7" s="1" t="s">
        <v>10</v>
      </c>
      <c r="E7" s="2">
        <v>23</v>
      </c>
      <c r="F7" s="3">
        <f t="shared" si="0"/>
        <v>3634</v>
      </c>
    </row>
    <row r="8" spans="1:6" ht="15.5" x14ac:dyDescent="0.35">
      <c r="A8" s="1" t="s">
        <v>15</v>
      </c>
      <c r="B8" s="1" t="s">
        <v>16</v>
      </c>
      <c r="C8" s="1">
        <v>500</v>
      </c>
      <c r="D8" s="1" t="s">
        <v>7</v>
      </c>
      <c r="E8" s="2">
        <v>0.5</v>
      </c>
      <c r="F8" s="3">
        <f t="shared" si="0"/>
        <v>250</v>
      </c>
    </row>
    <row r="9" spans="1:6" ht="15.5" x14ac:dyDescent="0.35">
      <c r="A9" s="1" t="s">
        <v>15</v>
      </c>
      <c r="B9" s="1" t="s">
        <v>17</v>
      </c>
      <c r="C9" s="1">
        <v>680</v>
      </c>
      <c r="D9" s="1" t="s">
        <v>7</v>
      </c>
      <c r="E9" s="2">
        <v>0.3</v>
      </c>
      <c r="F9" s="3">
        <f t="shared" si="0"/>
        <v>204</v>
      </c>
    </row>
    <row r="10" spans="1:6" ht="15.5" x14ac:dyDescent="0.35">
      <c r="A10" s="1" t="s">
        <v>18</v>
      </c>
      <c r="B10" s="1" t="s">
        <v>19</v>
      </c>
      <c r="C10" s="1">
        <v>500</v>
      </c>
      <c r="D10" s="1" t="s">
        <v>7</v>
      </c>
      <c r="E10" s="2">
        <v>0.1</v>
      </c>
      <c r="F10" s="3">
        <f t="shared" si="0"/>
        <v>50</v>
      </c>
    </row>
    <row r="11" spans="1:6" ht="15.5" x14ac:dyDescent="0.35">
      <c r="A11" s="1" t="s">
        <v>20</v>
      </c>
      <c r="B11" s="1" t="s">
        <v>21</v>
      </c>
      <c r="C11" s="1">
        <v>300</v>
      </c>
      <c r="D11" s="1" t="s">
        <v>10</v>
      </c>
      <c r="E11" s="2">
        <v>26.4</v>
      </c>
      <c r="F11" s="3">
        <f t="shared" si="0"/>
        <v>7920</v>
      </c>
    </row>
    <row r="12" spans="1:6" ht="15.5" x14ac:dyDescent="0.35">
      <c r="A12" s="1" t="s">
        <v>22</v>
      </c>
      <c r="B12" s="1" t="s">
        <v>23</v>
      </c>
      <c r="C12" s="1">
        <v>68</v>
      </c>
      <c r="D12" s="1" t="s">
        <v>7</v>
      </c>
      <c r="E12" s="2">
        <v>10</v>
      </c>
      <c r="F12" s="3">
        <f>C12*E12</f>
        <v>680</v>
      </c>
    </row>
    <row r="13" spans="1:6" ht="15.5" x14ac:dyDescent="0.35">
      <c r="A13" s="1" t="s">
        <v>24</v>
      </c>
      <c r="B13" s="1" t="s">
        <v>25</v>
      </c>
      <c r="C13" s="1">
        <v>4000</v>
      </c>
      <c r="D13" s="1" t="s">
        <v>7</v>
      </c>
      <c r="E13" s="2">
        <v>0.15</v>
      </c>
      <c r="F13" s="3">
        <f>C13*E13</f>
        <v>600</v>
      </c>
    </row>
    <row r="14" spans="1:6" ht="15.5" x14ac:dyDescent="0.35">
      <c r="A14" s="1" t="s">
        <v>26</v>
      </c>
      <c r="B14" s="1" t="s">
        <v>27</v>
      </c>
      <c r="C14" s="1">
        <v>60</v>
      </c>
      <c r="D14" s="1" t="s">
        <v>28</v>
      </c>
      <c r="E14" s="2">
        <v>3</v>
      </c>
      <c r="F14" s="3">
        <f t="shared" ref="F14:F27" si="1">C14*E14</f>
        <v>180</v>
      </c>
    </row>
    <row r="15" spans="1:6" ht="15.5" x14ac:dyDescent="0.35">
      <c r="A15" s="1" t="s">
        <v>29</v>
      </c>
      <c r="B15" s="1" t="s">
        <v>30</v>
      </c>
      <c r="C15" s="1">
        <v>65</v>
      </c>
      <c r="D15" s="1" t="s">
        <v>7</v>
      </c>
      <c r="E15" s="2">
        <v>2</v>
      </c>
      <c r="F15" s="3">
        <f t="shared" si="1"/>
        <v>130</v>
      </c>
    </row>
    <row r="16" spans="1:6" ht="15.5" x14ac:dyDescent="0.35">
      <c r="A16" s="1" t="s">
        <v>31</v>
      </c>
      <c r="B16" s="1" t="s">
        <v>32</v>
      </c>
      <c r="C16" s="1">
        <v>25</v>
      </c>
      <c r="D16" s="1" t="s">
        <v>7</v>
      </c>
      <c r="E16" s="2">
        <v>3</v>
      </c>
      <c r="F16" s="3">
        <f t="shared" si="1"/>
        <v>75</v>
      </c>
    </row>
    <row r="17" spans="1:6" ht="15.5" x14ac:dyDescent="0.35">
      <c r="A17" s="1" t="s">
        <v>33</v>
      </c>
      <c r="B17" s="1" t="s">
        <v>34</v>
      </c>
      <c r="C17" s="1">
        <v>10</v>
      </c>
      <c r="D17" s="1" t="s">
        <v>7</v>
      </c>
      <c r="E17" s="2">
        <v>28</v>
      </c>
      <c r="F17" s="3">
        <f t="shared" si="1"/>
        <v>280</v>
      </c>
    </row>
    <row r="18" spans="1:6" ht="15.5" x14ac:dyDescent="0.35">
      <c r="A18" s="1" t="s">
        <v>33</v>
      </c>
      <c r="B18" s="1" t="s">
        <v>35</v>
      </c>
      <c r="C18" s="1">
        <v>10</v>
      </c>
      <c r="D18" s="1" t="s">
        <v>7</v>
      </c>
      <c r="E18" s="2">
        <v>27</v>
      </c>
      <c r="F18" s="3">
        <f t="shared" si="1"/>
        <v>270</v>
      </c>
    </row>
    <row r="19" spans="1:6" ht="15.5" x14ac:dyDescent="0.35">
      <c r="A19" s="1" t="s">
        <v>36</v>
      </c>
      <c r="B19" s="1"/>
      <c r="C19" s="1">
        <v>100</v>
      </c>
      <c r="D19" s="1" t="s">
        <v>37</v>
      </c>
      <c r="E19" s="2">
        <v>5</v>
      </c>
      <c r="F19" s="3">
        <f t="shared" si="1"/>
        <v>500</v>
      </c>
    </row>
    <row r="20" spans="1:6" ht="15.5" x14ac:dyDescent="0.35">
      <c r="A20" s="1" t="s">
        <v>38</v>
      </c>
      <c r="B20" s="1"/>
      <c r="C20" s="1">
        <v>100</v>
      </c>
      <c r="D20" s="1" t="s">
        <v>37</v>
      </c>
      <c r="E20" s="2">
        <v>3</v>
      </c>
      <c r="F20" s="3">
        <f t="shared" si="1"/>
        <v>300</v>
      </c>
    </row>
    <row r="21" spans="1:6" ht="15.5" x14ac:dyDescent="0.35">
      <c r="A21" s="1" t="s">
        <v>39</v>
      </c>
      <c r="B21" s="1"/>
      <c r="C21" s="1">
        <v>20</v>
      </c>
      <c r="D21" s="1" t="s">
        <v>40</v>
      </c>
      <c r="E21" s="2">
        <v>28</v>
      </c>
      <c r="F21" s="3">
        <f t="shared" si="1"/>
        <v>560</v>
      </c>
    </row>
    <row r="22" spans="1:6" ht="15.5" x14ac:dyDescent="0.35">
      <c r="A22" s="1" t="s">
        <v>41</v>
      </c>
      <c r="B22" s="1"/>
      <c r="C22" s="1">
        <v>110</v>
      </c>
      <c r="D22" s="1" t="s">
        <v>42</v>
      </c>
      <c r="E22" s="2">
        <v>12.5</v>
      </c>
      <c r="F22" s="3">
        <f t="shared" si="1"/>
        <v>1375</v>
      </c>
    </row>
    <row r="23" spans="1:6" ht="15.5" x14ac:dyDescent="0.35">
      <c r="A23" s="1" t="s">
        <v>43</v>
      </c>
      <c r="B23" s="1"/>
      <c r="C23" s="1">
        <v>20</v>
      </c>
      <c r="D23" s="1" t="s">
        <v>40</v>
      </c>
      <c r="E23" s="2">
        <v>23</v>
      </c>
      <c r="F23" s="3">
        <f t="shared" si="1"/>
        <v>460</v>
      </c>
    </row>
    <row r="24" spans="1:6" ht="15.5" x14ac:dyDescent="0.35">
      <c r="A24" s="1" t="s">
        <v>44</v>
      </c>
      <c r="B24" s="1"/>
      <c r="C24" s="1">
        <v>0</v>
      </c>
      <c r="D24" s="1"/>
      <c r="E24" s="2">
        <v>105</v>
      </c>
      <c r="F24" s="3">
        <f t="shared" si="1"/>
        <v>0</v>
      </c>
    </row>
    <row r="25" spans="1:6" ht="15.5" x14ac:dyDescent="0.35">
      <c r="A25" s="1" t="s">
        <v>45</v>
      </c>
      <c r="B25" s="1" t="s">
        <v>46</v>
      </c>
      <c r="C25" s="1">
        <v>0</v>
      </c>
      <c r="D25" s="1"/>
      <c r="E25" s="2">
        <v>47</v>
      </c>
      <c r="F25" s="3">
        <f t="shared" si="1"/>
        <v>0</v>
      </c>
    </row>
    <row r="26" spans="1:6" ht="15.5" x14ac:dyDescent="0.35">
      <c r="A26" s="1" t="s">
        <v>47</v>
      </c>
      <c r="B26" s="1" t="s">
        <v>48</v>
      </c>
      <c r="C26" s="1">
        <v>0</v>
      </c>
      <c r="D26" s="1"/>
      <c r="E26" s="2">
        <v>1</v>
      </c>
      <c r="F26" s="3">
        <f t="shared" si="1"/>
        <v>0</v>
      </c>
    </row>
    <row r="27" spans="1:6" ht="15.5" x14ac:dyDescent="0.35">
      <c r="A27" s="1" t="s">
        <v>49</v>
      </c>
      <c r="B27" s="1" t="s">
        <v>50</v>
      </c>
      <c r="C27" s="1"/>
      <c r="D27" s="1"/>
      <c r="E27" s="2"/>
      <c r="F27" s="3">
        <f t="shared" si="1"/>
        <v>0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94EDD-98D6-420E-BEA3-43E4AC50C979}">
  <dimension ref="A1:F27"/>
  <sheetViews>
    <sheetView workbookViewId="0">
      <selection activeCell="C2" sqref="C2"/>
    </sheetView>
  </sheetViews>
  <sheetFormatPr defaultRowHeight="14.5" x14ac:dyDescent="0.35"/>
  <cols>
    <col min="1" max="1" width="32.6328125" customWidth="1"/>
    <col min="2" max="2" width="26.453125" customWidth="1"/>
    <col min="3" max="3" width="12.81640625" customWidth="1"/>
    <col min="4" max="4" width="24.1796875" customWidth="1"/>
    <col min="5" max="6" width="20.6328125"/>
  </cols>
  <sheetData>
    <row r="1" spans="1:6" ht="15.5" x14ac:dyDescent="0.35">
      <c r="A1" s="1" t="s">
        <v>0</v>
      </c>
      <c r="B1" s="1" t="s">
        <v>51</v>
      </c>
      <c r="C1" s="1" t="s">
        <v>1</v>
      </c>
      <c r="D1" s="1" t="s">
        <v>52</v>
      </c>
      <c r="E1" s="3" t="s">
        <v>53</v>
      </c>
      <c r="F1" s="3" t="s">
        <v>54</v>
      </c>
    </row>
    <row r="2" spans="1:6" ht="15.5" x14ac:dyDescent="0.35">
      <c r="A2" s="1" t="s">
        <v>2</v>
      </c>
      <c r="B2" s="1" t="s">
        <v>3</v>
      </c>
      <c r="C2" s="1">
        <v>46</v>
      </c>
      <c r="D2" s="1" t="s">
        <v>4</v>
      </c>
      <c r="E2" s="2">
        <v>55</v>
      </c>
      <c r="F2" s="3">
        <f>C2*E2</f>
        <v>2530</v>
      </c>
    </row>
    <row r="3" spans="1:6" ht="15.5" x14ac:dyDescent="0.35">
      <c r="A3" s="1" t="s">
        <v>5</v>
      </c>
      <c r="B3" s="1" t="s">
        <v>6</v>
      </c>
      <c r="C3" s="1">
        <v>95</v>
      </c>
      <c r="D3" s="1" t="s">
        <v>7</v>
      </c>
      <c r="E3" s="2">
        <v>55</v>
      </c>
      <c r="F3" s="3">
        <f t="shared" ref="F3:F11" si="0">C3*E3</f>
        <v>5225</v>
      </c>
    </row>
    <row r="4" spans="1:6" ht="15.5" x14ac:dyDescent="0.35">
      <c r="A4" s="1" t="s">
        <v>8</v>
      </c>
      <c r="B4" s="1" t="s">
        <v>9</v>
      </c>
      <c r="C4" s="1">
        <v>4</v>
      </c>
      <c r="D4" s="1" t="s">
        <v>10</v>
      </c>
      <c r="E4" s="2">
        <v>100</v>
      </c>
      <c r="F4" s="3">
        <f t="shared" si="0"/>
        <v>400</v>
      </c>
    </row>
    <row r="5" spans="1:6" ht="15.5" x14ac:dyDescent="0.35">
      <c r="A5" s="1" t="s">
        <v>8</v>
      </c>
      <c r="B5" s="1" t="s">
        <v>11</v>
      </c>
      <c r="C5" s="1">
        <v>6</v>
      </c>
      <c r="D5" s="1" t="s">
        <v>10</v>
      </c>
      <c r="E5" s="2">
        <v>60</v>
      </c>
      <c r="F5" s="3">
        <f t="shared" si="0"/>
        <v>360</v>
      </c>
    </row>
    <row r="6" spans="1:6" ht="15.5" x14ac:dyDescent="0.35">
      <c r="A6" s="1" t="s">
        <v>12</v>
      </c>
      <c r="B6" s="1" t="s">
        <v>13</v>
      </c>
      <c r="C6" s="1">
        <v>80</v>
      </c>
      <c r="D6" s="1" t="s">
        <v>10</v>
      </c>
      <c r="E6" s="2">
        <v>9.5</v>
      </c>
      <c r="F6" s="3">
        <f t="shared" si="0"/>
        <v>760</v>
      </c>
    </row>
    <row r="7" spans="1:6" ht="15.5" x14ac:dyDescent="0.35">
      <c r="A7" s="1" t="s">
        <v>12</v>
      </c>
      <c r="B7" s="1" t="s">
        <v>14</v>
      </c>
      <c r="C7" s="1">
        <v>158</v>
      </c>
      <c r="D7" s="1" t="s">
        <v>10</v>
      </c>
      <c r="E7" s="2">
        <v>23</v>
      </c>
      <c r="F7" s="3">
        <f t="shared" si="0"/>
        <v>3634</v>
      </c>
    </row>
    <row r="8" spans="1:6" ht="15.5" x14ac:dyDescent="0.35">
      <c r="A8" s="1" t="s">
        <v>15</v>
      </c>
      <c r="B8" s="1" t="s">
        <v>16</v>
      </c>
      <c r="C8" s="1">
        <v>500</v>
      </c>
      <c r="D8" s="1" t="s">
        <v>7</v>
      </c>
      <c r="E8" s="2">
        <v>0.5</v>
      </c>
      <c r="F8" s="3">
        <f t="shared" si="0"/>
        <v>250</v>
      </c>
    </row>
    <row r="9" spans="1:6" ht="15.5" x14ac:dyDescent="0.35">
      <c r="A9" s="1" t="s">
        <v>15</v>
      </c>
      <c r="B9" s="1" t="s">
        <v>17</v>
      </c>
      <c r="C9" s="1">
        <v>680</v>
      </c>
      <c r="D9" s="1" t="s">
        <v>7</v>
      </c>
      <c r="E9" s="2">
        <v>0.3</v>
      </c>
      <c r="F9" s="3">
        <f t="shared" si="0"/>
        <v>204</v>
      </c>
    </row>
    <row r="10" spans="1:6" ht="15.5" x14ac:dyDescent="0.35">
      <c r="A10" s="1" t="s">
        <v>18</v>
      </c>
      <c r="B10" s="1" t="s">
        <v>19</v>
      </c>
      <c r="C10" s="1">
        <v>500</v>
      </c>
      <c r="D10" s="1" t="s">
        <v>7</v>
      </c>
      <c r="E10" s="2">
        <v>0.1</v>
      </c>
      <c r="F10" s="3">
        <f t="shared" si="0"/>
        <v>50</v>
      </c>
    </row>
    <row r="11" spans="1:6" ht="15.5" x14ac:dyDescent="0.35">
      <c r="A11" s="1" t="s">
        <v>20</v>
      </c>
      <c r="B11" s="1" t="s">
        <v>21</v>
      </c>
      <c r="C11" s="1">
        <v>300</v>
      </c>
      <c r="D11" s="1" t="s">
        <v>10</v>
      </c>
      <c r="E11" s="2">
        <v>26.4</v>
      </c>
      <c r="F11" s="3">
        <f t="shared" si="0"/>
        <v>7920</v>
      </c>
    </row>
    <row r="12" spans="1:6" ht="15.5" x14ac:dyDescent="0.35">
      <c r="A12" s="1" t="s">
        <v>22</v>
      </c>
      <c r="B12" s="1" t="s">
        <v>23</v>
      </c>
      <c r="C12" s="1">
        <v>68</v>
      </c>
      <c r="D12" s="1" t="s">
        <v>7</v>
      </c>
      <c r="E12" s="2">
        <v>10</v>
      </c>
      <c r="F12" s="3">
        <f>C12*E12</f>
        <v>680</v>
      </c>
    </row>
    <row r="13" spans="1:6" ht="15.5" x14ac:dyDescent="0.35">
      <c r="A13" s="1" t="s">
        <v>24</v>
      </c>
      <c r="B13" s="1" t="s">
        <v>25</v>
      </c>
      <c r="C13" s="1">
        <v>4000</v>
      </c>
      <c r="D13" s="1" t="s">
        <v>7</v>
      </c>
      <c r="E13" s="2">
        <v>0.15</v>
      </c>
      <c r="F13" s="3">
        <f>C13*E13</f>
        <v>600</v>
      </c>
    </row>
    <row r="14" spans="1:6" ht="15.5" x14ac:dyDescent="0.35">
      <c r="A14" s="1" t="s">
        <v>26</v>
      </c>
      <c r="B14" s="1" t="s">
        <v>27</v>
      </c>
      <c r="C14" s="1">
        <v>60</v>
      </c>
      <c r="D14" s="1" t="s">
        <v>28</v>
      </c>
      <c r="E14" s="2">
        <v>3</v>
      </c>
      <c r="F14" s="3">
        <f t="shared" ref="F14:F27" si="1">C14*E14</f>
        <v>180</v>
      </c>
    </row>
    <row r="15" spans="1:6" ht="15.5" x14ac:dyDescent="0.35">
      <c r="A15" s="1" t="s">
        <v>29</v>
      </c>
      <c r="B15" s="1" t="s">
        <v>30</v>
      </c>
      <c r="C15" s="1">
        <v>65</v>
      </c>
      <c r="D15" s="1" t="s">
        <v>7</v>
      </c>
      <c r="E15" s="2">
        <v>2</v>
      </c>
      <c r="F15" s="3">
        <f t="shared" si="1"/>
        <v>130</v>
      </c>
    </row>
    <row r="16" spans="1:6" ht="15.5" x14ac:dyDescent="0.35">
      <c r="A16" s="1" t="s">
        <v>31</v>
      </c>
      <c r="B16" s="1" t="s">
        <v>32</v>
      </c>
      <c r="C16" s="1">
        <v>25</v>
      </c>
      <c r="D16" s="1" t="s">
        <v>7</v>
      </c>
      <c r="E16" s="2">
        <v>3</v>
      </c>
      <c r="F16" s="3">
        <f t="shared" si="1"/>
        <v>75</v>
      </c>
    </row>
    <row r="17" spans="1:6" ht="15.5" x14ac:dyDescent="0.35">
      <c r="A17" s="1" t="s">
        <v>33</v>
      </c>
      <c r="B17" s="1" t="s">
        <v>34</v>
      </c>
      <c r="C17" s="1">
        <v>10</v>
      </c>
      <c r="D17" s="1" t="s">
        <v>7</v>
      </c>
      <c r="E17" s="2">
        <v>28</v>
      </c>
      <c r="F17" s="3">
        <f t="shared" si="1"/>
        <v>280</v>
      </c>
    </row>
    <row r="18" spans="1:6" ht="15.5" x14ac:dyDescent="0.35">
      <c r="A18" s="1" t="s">
        <v>33</v>
      </c>
      <c r="B18" s="1" t="s">
        <v>35</v>
      </c>
      <c r="C18" s="1">
        <v>10</v>
      </c>
      <c r="D18" s="1" t="s">
        <v>7</v>
      </c>
      <c r="E18" s="2">
        <v>27</v>
      </c>
      <c r="F18" s="3">
        <f t="shared" si="1"/>
        <v>270</v>
      </c>
    </row>
    <row r="19" spans="1:6" ht="15.5" x14ac:dyDescent="0.35">
      <c r="A19" s="1" t="s">
        <v>36</v>
      </c>
      <c r="B19" s="1"/>
      <c r="C19" s="1">
        <v>100</v>
      </c>
      <c r="D19" s="1" t="s">
        <v>37</v>
      </c>
      <c r="E19" s="2">
        <v>5</v>
      </c>
      <c r="F19" s="3">
        <f t="shared" si="1"/>
        <v>500</v>
      </c>
    </row>
    <row r="20" spans="1:6" ht="15.5" x14ac:dyDescent="0.35">
      <c r="A20" s="1" t="s">
        <v>38</v>
      </c>
      <c r="B20" s="1"/>
      <c r="C20" s="1">
        <v>100</v>
      </c>
      <c r="D20" s="1" t="s">
        <v>37</v>
      </c>
      <c r="E20" s="2">
        <v>3</v>
      </c>
      <c r="F20" s="3">
        <f t="shared" si="1"/>
        <v>300</v>
      </c>
    </row>
    <row r="21" spans="1:6" ht="15.5" x14ac:dyDescent="0.35">
      <c r="A21" s="1" t="s">
        <v>39</v>
      </c>
      <c r="B21" s="1"/>
      <c r="C21" s="1">
        <v>20</v>
      </c>
      <c r="D21" s="1" t="s">
        <v>40</v>
      </c>
      <c r="E21" s="2">
        <v>28</v>
      </c>
      <c r="F21" s="3">
        <f t="shared" si="1"/>
        <v>560</v>
      </c>
    </row>
    <row r="22" spans="1:6" ht="15.5" x14ac:dyDescent="0.35">
      <c r="A22" s="1" t="s">
        <v>41</v>
      </c>
      <c r="B22" s="1"/>
      <c r="C22" s="1">
        <v>110</v>
      </c>
      <c r="D22" s="1" t="s">
        <v>42</v>
      </c>
      <c r="E22" s="2">
        <v>12.5</v>
      </c>
      <c r="F22" s="3">
        <f t="shared" si="1"/>
        <v>1375</v>
      </c>
    </row>
    <row r="23" spans="1:6" ht="15.5" x14ac:dyDescent="0.35">
      <c r="A23" s="1" t="s">
        <v>43</v>
      </c>
      <c r="B23" s="1"/>
      <c r="C23" s="1">
        <v>20</v>
      </c>
      <c r="D23" s="1" t="s">
        <v>40</v>
      </c>
      <c r="E23" s="2">
        <v>23</v>
      </c>
      <c r="F23" s="3">
        <f t="shared" si="1"/>
        <v>460</v>
      </c>
    </row>
    <row r="24" spans="1:6" ht="15.5" x14ac:dyDescent="0.35">
      <c r="A24" s="1" t="s">
        <v>44</v>
      </c>
      <c r="B24" s="1"/>
      <c r="C24" s="1">
        <v>0</v>
      </c>
      <c r="D24" s="1"/>
      <c r="E24" s="2">
        <v>105</v>
      </c>
      <c r="F24" s="3">
        <f t="shared" si="1"/>
        <v>0</v>
      </c>
    </row>
    <row r="25" spans="1:6" ht="15.5" x14ac:dyDescent="0.35">
      <c r="A25" s="1" t="s">
        <v>45</v>
      </c>
      <c r="B25" s="1" t="s">
        <v>46</v>
      </c>
      <c r="C25" s="1">
        <v>0</v>
      </c>
      <c r="D25" s="1"/>
      <c r="E25" s="2">
        <v>47</v>
      </c>
      <c r="F25" s="3">
        <f t="shared" si="1"/>
        <v>0</v>
      </c>
    </row>
    <row r="26" spans="1:6" ht="15.5" x14ac:dyDescent="0.35">
      <c r="A26" s="1" t="s">
        <v>47</v>
      </c>
      <c r="B26" s="1" t="s">
        <v>48</v>
      </c>
      <c r="C26" s="1">
        <v>0</v>
      </c>
      <c r="D26" s="1"/>
      <c r="E26" s="2">
        <v>1</v>
      </c>
      <c r="F26" s="3">
        <f t="shared" si="1"/>
        <v>0</v>
      </c>
    </row>
    <row r="27" spans="1:6" ht="15.5" x14ac:dyDescent="0.35">
      <c r="A27" s="1" t="s">
        <v>49</v>
      </c>
      <c r="B27" s="1" t="s">
        <v>50</v>
      </c>
      <c r="C27" s="1"/>
      <c r="D27" s="1"/>
      <c r="E27" s="2"/>
      <c r="F27" s="3">
        <f t="shared" si="1"/>
        <v>0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95ED3-5EB7-46E3-A933-4ECEEAF923A7}">
  <dimension ref="A1:F27"/>
  <sheetViews>
    <sheetView workbookViewId="0">
      <selection activeCell="I13" sqref="I13"/>
    </sheetView>
  </sheetViews>
  <sheetFormatPr defaultRowHeight="14.5" x14ac:dyDescent="0.35"/>
  <cols>
    <col min="1" max="1" width="32.6328125" customWidth="1"/>
    <col min="2" max="2" width="26.453125" customWidth="1"/>
    <col min="3" max="3" width="12.81640625" customWidth="1"/>
    <col min="4" max="4" width="24.1796875" customWidth="1"/>
    <col min="5" max="6" width="20.6328125"/>
  </cols>
  <sheetData>
    <row r="1" spans="1:6" ht="15.5" x14ac:dyDescent="0.35">
      <c r="A1" s="1" t="s">
        <v>0</v>
      </c>
      <c r="B1" s="1" t="s">
        <v>51</v>
      </c>
      <c r="C1" s="1" t="s">
        <v>1</v>
      </c>
      <c r="D1" s="1" t="s">
        <v>52</v>
      </c>
      <c r="E1" s="3" t="s">
        <v>53</v>
      </c>
      <c r="F1" s="3" t="s">
        <v>54</v>
      </c>
    </row>
    <row r="2" spans="1:6" ht="15.5" x14ac:dyDescent="0.35">
      <c r="A2" s="1" t="s">
        <v>2</v>
      </c>
      <c r="B2" s="1" t="s">
        <v>3</v>
      </c>
      <c r="C2" s="1">
        <v>7</v>
      </c>
      <c r="D2" s="1" t="s">
        <v>4</v>
      </c>
      <c r="E2" s="2">
        <v>55</v>
      </c>
      <c r="F2" s="3">
        <f>C2*E2</f>
        <v>385</v>
      </c>
    </row>
    <row r="3" spans="1:6" ht="15.5" x14ac:dyDescent="0.35">
      <c r="A3" s="1" t="s">
        <v>5</v>
      </c>
      <c r="B3" s="1" t="s">
        <v>6</v>
      </c>
      <c r="C3" s="1">
        <v>18</v>
      </c>
      <c r="D3" s="1" t="s">
        <v>7</v>
      </c>
      <c r="E3" s="2">
        <v>55</v>
      </c>
      <c r="F3" s="3">
        <f t="shared" ref="F3:F11" si="0">C3*E3</f>
        <v>990</v>
      </c>
    </row>
    <row r="4" spans="1:6" ht="15.5" x14ac:dyDescent="0.35">
      <c r="A4" s="1" t="s">
        <v>8</v>
      </c>
      <c r="B4" s="1" t="s">
        <v>9</v>
      </c>
      <c r="C4" s="1">
        <v>0</v>
      </c>
      <c r="D4" s="1" t="s">
        <v>10</v>
      </c>
      <c r="E4" s="2">
        <v>100</v>
      </c>
      <c r="F4" s="3">
        <f t="shared" si="0"/>
        <v>0</v>
      </c>
    </row>
    <row r="5" spans="1:6" ht="15.5" x14ac:dyDescent="0.35">
      <c r="A5" s="1" t="s">
        <v>8</v>
      </c>
      <c r="B5" s="1" t="s">
        <v>11</v>
      </c>
      <c r="C5" s="1">
        <v>1</v>
      </c>
      <c r="D5" s="1" t="s">
        <v>10</v>
      </c>
      <c r="E5" s="2">
        <v>60</v>
      </c>
      <c r="F5" s="3">
        <f t="shared" si="0"/>
        <v>60</v>
      </c>
    </row>
    <row r="6" spans="1:6" ht="15.5" x14ac:dyDescent="0.35">
      <c r="A6" s="1" t="s">
        <v>12</v>
      </c>
      <c r="B6" s="1" t="s">
        <v>13</v>
      </c>
      <c r="C6" s="1">
        <v>2</v>
      </c>
      <c r="D6" s="1" t="s">
        <v>10</v>
      </c>
      <c r="E6" s="2">
        <v>9.5</v>
      </c>
      <c r="F6" s="3">
        <f t="shared" si="0"/>
        <v>19</v>
      </c>
    </row>
    <row r="7" spans="1:6" ht="15.5" x14ac:dyDescent="0.35">
      <c r="A7" s="1" t="s">
        <v>12</v>
      </c>
      <c r="B7" s="1" t="s">
        <v>14</v>
      </c>
      <c r="C7" s="1">
        <v>15</v>
      </c>
      <c r="D7" s="1" t="s">
        <v>10</v>
      </c>
      <c r="E7" s="2">
        <v>23</v>
      </c>
      <c r="F7" s="3">
        <f t="shared" si="0"/>
        <v>345</v>
      </c>
    </row>
    <row r="8" spans="1:6" ht="15.5" x14ac:dyDescent="0.35">
      <c r="A8" s="1" t="s">
        <v>15</v>
      </c>
      <c r="B8" s="1" t="s">
        <v>16</v>
      </c>
      <c r="C8" s="1">
        <v>15</v>
      </c>
      <c r="D8" s="1" t="s">
        <v>7</v>
      </c>
      <c r="E8" s="2">
        <v>0.5</v>
      </c>
      <c r="F8" s="3">
        <f t="shared" si="0"/>
        <v>7.5</v>
      </c>
    </row>
    <row r="9" spans="1:6" ht="15.5" x14ac:dyDescent="0.35">
      <c r="A9" s="1" t="s">
        <v>15</v>
      </c>
      <c r="B9" s="1" t="s">
        <v>17</v>
      </c>
      <c r="C9" s="1">
        <v>50</v>
      </c>
      <c r="D9" s="1" t="s">
        <v>7</v>
      </c>
      <c r="E9" s="2">
        <v>0.3</v>
      </c>
      <c r="F9" s="3">
        <f t="shared" si="0"/>
        <v>15</v>
      </c>
    </row>
    <row r="10" spans="1:6" ht="15.5" x14ac:dyDescent="0.35">
      <c r="A10" s="1" t="s">
        <v>18</v>
      </c>
      <c r="B10" s="1" t="s">
        <v>19</v>
      </c>
      <c r="C10" s="1">
        <v>200</v>
      </c>
      <c r="D10" s="1" t="s">
        <v>7</v>
      </c>
      <c r="E10" s="2">
        <v>0.1</v>
      </c>
      <c r="F10" s="3">
        <f t="shared" si="0"/>
        <v>20</v>
      </c>
    </row>
    <row r="11" spans="1:6" ht="15.5" x14ac:dyDescent="0.35">
      <c r="A11" s="1" t="s">
        <v>20</v>
      </c>
      <c r="B11" s="1" t="s">
        <v>21</v>
      </c>
      <c r="C11" s="1">
        <v>100</v>
      </c>
      <c r="D11" s="1" t="s">
        <v>10</v>
      </c>
      <c r="E11" s="2">
        <v>26.4</v>
      </c>
      <c r="F11" s="3">
        <f t="shared" si="0"/>
        <v>2640</v>
      </c>
    </row>
    <row r="12" spans="1:6" ht="15.5" x14ac:dyDescent="0.35">
      <c r="A12" s="1" t="s">
        <v>22</v>
      </c>
      <c r="B12" s="1" t="s">
        <v>23</v>
      </c>
      <c r="C12" s="1">
        <v>57</v>
      </c>
      <c r="D12" s="1" t="s">
        <v>7</v>
      </c>
      <c r="E12" s="2">
        <v>10</v>
      </c>
      <c r="F12" s="3">
        <f>C12*E12</f>
        <v>570</v>
      </c>
    </row>
    <row r="13" spans="1:6" ht="15.5" x14ac:dyDescent="0.35">
      <c r="A13" s="1" t="s">
        <v>24</v>
      </c>
      <c r="B13" s="1" t="s">
        <v>25</v>
      </c>
      <c r="C13" s="1">
        <v>10</v>
      </c>
      <c r="D13" s="1" t="s">
        <v>7</v>
      </c>
      <c r="E13" s="2">
        <v>0.15</v>
      </c>
      <c r="F13" s="3">
        <f>C13*E13</f>
        <v>1.5</v>
      </c>
    </row>
    <row r="14" spans="1:6" ht="15.5" x14ac:dyDescent="0.35">
      <c r="A14" s="1" t="s">
        <v>26</v>
      </c>
      <c r="B14" s="1" t="s">
        <v>27</v>
      </c>
      <c r="C14" s="1">
        <v>1000</v>
      </c>
      <c r="D14" s="1" t="s">
        <v>28</v>
      </c>
      <c r="E14" s="2">
        <v>3</v>
      </c>
      <c r="F14" s="3">
        <f t="shared" ref="F14:F27" si="1">C14*E14</f>
        <v>3000</v>
      </c>
    </row>
    <row r="15" spans="1:6" ht="15.5" x14ac:dyDescent="0.35">
      <c r="A15" s="1" t="s">
        <v>29</v>
      </c>
      <c r="B15" s="1" t="s">
        <v>30</v>
      </c>
      <c r="C15" s="1">
        <v>20</v>
      </c>
      <c r="D15" s="1" t="s">
        <v>7</v>
      </c>
      <c r="E15" s="2">
        <v>2</v>
      </c>
      <c r="F15" s="3">
        <f t="shared" si="1"/>
        <v>40</v>
      </c>
    </row>
    <row r="16" spans="1:6" ht="15.5" x14ac:dyDescent="0.35">
      <c r="A16" s="1" t="s">
        <v>31</v>
      </c>
      <c r="B16" s="1" t="s">
        <v>32</v>
      </c>
      <c r="C16" s="1">
        <v>10</v>
      </c>
      <c r="D16" s="1" t="s">
        <v>7</v>
      </c>
      <c r="E16" s="2">
        <v>3</v>
      </c>
      <c r="F16" s="3">
        <f t="shared" si="1"/>
        <v>30</v>
      </c>
    </row>
    <row r="17" spans="1:6" ht="15.5" x14ac:dyDescent="0.35">
      <c r="A17" s="1" t="s">
        <v>33</v>
      </c>
      <c r="B17" s="1" t="s">
        <v>34</v>
      </c>
      <c r="C17" s="1">
        <v>6</v>
      </c>
      <c r="D17" s="1" t="s">
        <v>7</v>
      </c>
      <c r="E17" s="2">
        <v>28</v>
      </c>
      <c r="F17" s="3">
        <f t="shared" si="1"/>
        <v>168</v>
      </c>
    </row>
    <row r="18" spans="1:6" ht="15.5" x14ac:dyDescent="0.35">
      <c r="A18" s="1" t="s">
        <v>33</v>
      </c>
      <c r="B18" s="1" t="s">
        <v>35</v>
      </c>
      <c r="C18" s="1">
        <v>4</v>
      </c>
      <c r="D18" s="1" t="s">
        <v>7</v>
      </c>
      <c r="E18" s="2">
        <v>27</v>
      </c>
      <c r="F18" s="3">
        <f t="shared" si="1"/>
        <v>108</v>
      </c>
    </row>
    <row r="19" spans="1:6" ht="15.5" x14ac:dyDescent="0.35">
      <c r="A19" s="1" t="s">
        <v>36</v>
      </c>
      <c r="B19" s="1"/>
      <c r="C19" s="1">
        <v>4</v>
      </c>
      <c r="D19" s="1" t="s">
        <v>37</v>
      </c>
      <c r="E19" s="2">
        <v>5</v>
      </c>
      <c r="F19" s="3">
        <f t="shared" si="1"/>
        <v>20</v>
      </c>
    </row>
    <row r="20" spans="1:6" ht="15.5" x14ac:dyDescent="0.35">
      <c r="A20" s="1" t="s">
        <v>38</v>
      </c>
      <c r="B20" s="1"/>
      <c r="C20" s="1">
        <v>30</v>
      </c>
      <c r="D20" s="1" t="s">
        <v>37</v>
      </c>
      <c r="E20" s="2">
        <v>3</v>
      </c>
      <c r="F20" s="3">
        <f t="shared" si="1"/>
        <v>90</v>
      </c>
    </row>
    <row r="21" spans="1:6" ht="15.5" x14ac:dyDescent="0.35">
      <c r="A21" s="1" t="s">
        <v>39</v>
      </c>
      <c r="B21" s="1"/>
      <c r="C21" s="1">
        <v>30</v>
      </c>
      <c r="D21" s="1" t="s">
        <v>40</v>
      </c>
      <c r="E21" s="2">
        <v>28</v>
      </c>
      <c r="F21" s="3">
        <f t="shared" si="1"/>
        <v>840</v>
      </c>
    </row>
    <row r="22" spans="1:6" ht="15.5" x14ac:dyDescent="0.35">
      <c r="A22" s="1" t="s">
        <v>41</v>
      </c>
      <c r="B22" s="1"/>
      <c r="C22" s="1">
        <v>8</v>
      </c>
      <c r="D22" s="1" t="s">
        <v>42</v>
      </c>
      <c r="E22" s="2">
        <v>12.5</v>
      </c>
      <c r="F22" s="3">
        <f t="shared" si="1"/>
        <v>100</v>
      </c>
    </row>
    <row r="23" spans="1:6" ht="15.5" x14ac:dyDescent="0.35">
      <c r="A23" s="1" t="s">
        <v>43</v>
      </c>
      <c r="B23" s="1"/>
      <c r="C23" s="1">
        <v>35</v>
      </c>
      <c r="D23" s="1" t="s">
        <v>40</v>
      </c>
      <c r="E23" s="2">
        <v>23</v>
      </c>
      <c r="F23" s="3">
        <f t="shared" si="1"/>
        <v>805</v>
      </c>
    </row>
    <row r="24" spans="1:6" ht="15.5" x14ac:dyDescent="0.35">
      <c r="A24" s="1" t="s">
        <v>44</v>
      </c>
      <c r="B24" s="1"/>
      <c r="C24" s="1">
        <v>6</v>
      </c>
      <c r="D24" s="1"/>
      <c r="E24" s="2">
        <v>105</v>
      </c>
      <c r="F24" s="3">
        <f t="shared" si="1"/>
        <v>630</v>
      </c>
    </row>
    <row r="25" spans="1:6" ht="15.5" x14ac:dyDescent="0.35">
      <c r="A25" s="1" t="s">
        <v>45</v>
      </c>
      <c r="B25" s="1" t="s">
        <v>46</v>
      </c>
      <c r="C25" s="1">
        <v>0</v>
      </c>
      <c r="D25" s="1"/>
      <c r="E25" s="2">
        <v>47</v>
      </c>
      <c r="F25" s="3">
        <f t="shared" si="1"/>
        <v>0</v>
      </c>
    </row>
    <row r="26" spans="1:6" ht="15.5" x14ac:dyDescent="0.35">
      <c r="A26" s="1" t="s">
        <v>47</v>
      </c>
      <c r="B26" s="1" t="s">
        <v>48</v>
      </c>
      <c r="C26" s="1">
        <v>0</v>
      </c>
      <c r="D26" s="1"/>
      <c r="E26" s="2">
        <v>1</v>
      </c>
      <c r="F26" s="3">
        <f t="shared" si="1"/>
        <v>0</v>
      </c>
    </row>
    <row r="27" spans="1:6" ht="15.5" x14ac:dyDescent="0.35">
      <c r="A27" s="1" t="s">
        <v>49</v>
      </c>
      <c r="B27" s="1" t="s">
        <v>50</v>
      </c>
      <c r="C27" s="1">
        <v>0</v>
      </c>
      <c r="D27" s="1"/>
      <c r="E27" s="2"/>
      <c r="F27" s="3">
        <f t="shared" si="1"/>
        <v>0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640F2-442F-4E28-AFDF-0359F16A74D8}">
  <dimension ref="A1:F27"/>
  <sheetViews>
    <sheetView topLeftCell="A12" workbookViewId="0">
      <selection activeCell="C2" sqref="C2:C27"/>
    </sheetView>
  </sheetViews>
  <sheetFormatPr defaultRowHeight="14.5" x14ac:dyDescent="0.35"/>
  <cols>
    <col min="1" max="1" width="32.6328125" customWidth="1"/>
    <col min="2" max="2" width="26.453125" customWidth="1"/>
    <col min="3" max="3" width="12.81640625" customWidth="1"/>
    <col min="4" max="4" width="24.1796875" customWidth="1"/>
    <col min="5" max="5" width="14.90625" customWidth="1"/>
    <col min="6" max="6" width="14.08984375" customWidth="1"/>
  </cols>
  <sheetData>
    <row r="1" spans="1:6" ht="15.5" x14ac:dyDescent="0.35">
      <c r="A1" s="1" t="s">
        <v>0</v>
      </c>
      <c r="B1" s="1" t="s">
        <v>51</v>
      </c>
      <c r="C1" s="1" t="s">
        <v>1</v>
      </c>
      <c r="D1" s="1" t="s">
        <v>52</v>
      </c>
      <c r="E1" s="3" t="s">
        <v>53</v>
      </c>
      <c r="F1" s="3" t="s">
        <v>54</v>
      </c>
    </row>
    <row r="2" spans="1:6" ht="15.5" x14ac:dyDescent="0.35">
      <c r="A2" s="1" t="s">
        <v>2</v>
      </c>
      <c r="B2" s="1" t="s">
        <v>3</v>
      </c>
      <c r="C2" s="1">
        <v>3</v>
      </c>
      <c r="D2" s="1" t="s">
        <v>4</v>
      </c>
      <c r="E2" s="2">
        <v>55</v>
      </c>
      <c r="F2" s="3">
        <f>C2*E2</f>
        <v>165</v>
      </c>
    </row>
    <row r="3" spans="1:6" ht="15.5" x14ac:dyDescent="0.35">
      <c r="A3" s="1" t="s">
        <v>5</v>
      </c>
      <c r="B3" s="1" t="s">
        <v>6</v>
      </c>
      <c r="C3" s="1">
        <v>7</v>
      </c>
      <c r="D3" s="1" t="s">
        <v>7</v>
      </c>
      <c r="E3" s="2">
        <v>55</v>
      </c>
      <c r="F3" s="3">
        <f t="shared" ref="F3:F11" si="0">C3*E3</f>
        <v>385</v>
      </c>
    </row>
    <row r="4" spans="1:6" ht="15.5" x14ac:dyDescent="0.35">
      <c r="A4" s="1" t="s">
        <v>8</v>
      </c>
      <c r="B4" s="1" t="s">
        <v>9</v>
      </c>
      <c r="C4" s="1">
        <v>9</v>
      </c>
      <c r="D4" s="1" t="s">
        <v>10</v>
      </c>
      <c r="E4" s="2">
        <v>100</v>
      </c>
      <c r="F4" s="3">
        <f t="shared" si="0"/>
        <v>900</v>
      </c>
    </row>
    <row r="5" spans="1:6" ht="15.5" x14ac:dyDescent="0.35">
      <c r="A5" s="1" t="s">
        <v>8</v>
      </c>
      <c r="B5" s="1" t="s">
        <v>11</v>
      </c>
      <c r="C5" s="1">
        <v>1</v>
      </c>
      <c r="D5" s="1" t="s">
        <v>10</v>
      </c>
      <c r="E5" s="2">
        <v>60</v>
      </c>
      <c r="F5" s="3">
        <f t="shared" si="0"/>
        <v>60</v>
      </c>
    </row>
    <row r="6" spans="1:6" ht="15.5" x14ac:dyDescent="0.35">
      <c r="A6" s="1" t="s">
        <v>12</v>
      </c>
      <c r="B6" s="1" t="s">
        <v>13</v>
      </c>
      <c r="C6" s="1">
        <v>1</v>
      </c>
      <c r="D6" s="1" t="s">
        <v>10</v>
      </c>
      <c r="E6" s="2">
        <v>9.5</v>
      </c>
      <c r="F6" s="3">
        <f t="shared" si="0"/>
        <v>9.5</v>
      </c>
    </row>
    <row r="7" spans="1:6" ht="15.5" x14ac:dyDescent="0.35">
      <c r="A7" s="1" t="s">
        <v>12</v>
      </c>
      <c r="B7" s="1" t="s">
        <v>14</v>
      </c>
      <c r="C7" s="1">
        <v>10</v>
      </c>
      <c r="D7" s="1" t="s">
        <v>10</v>
      </c>
      <c r="E7" s="2">
        <v>23</v>
      </c>
      <c r="F7" s="3">
        <f t="shared" si="0"/>
        <v>230</v>
      </c>
    </row>
    <row r="8" spans="1:6" ht="15.5" x14ac:dyDescent="0.35">
      <c r="A8" s="1" t="s">
        <v>15</v>
      </c>
      <c r="B8" s="1" t="s">
        <v>16</v>
      </c>
      <c r="C8" s="1">
        <v>15</v>
      </c>
      <c r="D8" s="1" t="s">
        <v>7</v>
      </c>
      <c r="E8" s="2">
        <v>0.5</v>
      </c>
      <c r="F8" s="3">
        <f t="shared" si="0"/>
        <v>7.5</v>
      </c>
    </row>
    <row r="9" spans="1:6" ht="15.5" x14ac:dyDescent="0.35">
      <c r="A9" s="1" t="s">
        <v>15</v>
      </c>
      <c r="B9" s="1" t="s">
        <v>17</v>
      </c>
      <c r="C9" s="1">
        <v>90</v>
      </c>
      <c r="D9" s="1" t="s">
        <v>7</v>
      </c>
      <c r="E9" s="2">
        <v>0.3</v>
      </c>
      <c r="F9" s="3">
        <f t="shared" si="0"/>
        <v>27</v>
      </c>
    </row>
    <row r="10" spans="1:6" ht="15.5" x14ac:dyDescent="0.35">
      <c r="A10" s="1" t="s">
        <v>18</v>
      </c>
      <c r="B10" s="1" t="s">
        <v>19</v>
      </c>
      <c r="C10" s="1">
        <v>100</v>
      </c>
      <c r="D10" s="1" t="s">
        <v>7</v>
      </c>
      <c r="E10" s="2">
        <v>0.1</v>
      </c>
      <c r="F10" s="3">
        <f t="shared" si="0"/>
        <v>10</v>
      </c>
    </row>
    <row r="11" spans="1:6" ht="15.5" x14ac:dyDescent="0.35">
      <c r="A11" s="1" t="s">
        <v>20</v>
      </c>
      <c r="B11" s="1" t="s">
        <v>21</v>
      </c>
      <c r="C11" s="1">
        <v>90</v>
      </c>
      <c r="D11" s="1" t="s">
        <v>10</v>
      </c>
      <c r="E11" s="2">
        <v>26.4</v>
      </c>
      <c r="F11" s="3">
        <f t="shared" si="0"/>
        <v>2376</v>
      </c>
    </row>
    <row r="12" spans="1:6" ht="15.5" x14ac:dyDescent="0.35">
      <c r="A12" s="1" t="s">
        <v>22</v>
      </c>
      <c r="B12" s="1" t="s">
        <v>23</v>
      </c>
      <c r="C12" s="1">
        <v>35</v>
      </c>
      <c r="D12" s="1" t="s">
        <v>7</v>
      </c>
      <c r="E12" s="2">
        <v>10</v>
      </c>
      <c r="F12" s="3">
        <f>C12*E12</f>
        <v>350</v>
      </c>
    </row>
    <row r="13" spans="1:6" ht="15.5" x14ac:dyDescent="0.35">
      <c r="A13" s="1" t="s">
        <v>24</v>
      </c>
      <c r="B13" s="1" t="s">
        <v>25</v>
      </c>
      <c r="C13" s="1">
        <v>10</v>
      </c>
      <c r="D13" s="1" t="s">
        <v>7</v>
      </c>
      <c r="E13" s="2">
        <v>0.15</v>
      </c>
      <c r="F13" s="3">
        <f>C13*E13</f>
        <v>1.5</v>
      </c>
    </row>
    <row r="14" spans="1:6" ht="15.5" x14ac:dyDescent="0.35">
      <c r="A14" s="1" t="s">
        <v>26</v>
      </c>
      <c r="B14" s="1" t="s">
        <v>27</v>
      </c>
      <c r="C14" s="1">
        <v>900</v>
      </c>
      <c r="D14" s="1" t="s">
        <v>28</v>
      </c>
      <c r="E14" s="2">
        <v>3</v>
      </c>
      <c r="F14" s="3">
        <f t="shared" ref="F14:F27" si="1">C14*E14</f>
        <v>2700</v>
      </c>
    </row>
    <row r="15" spans="1:6" ht="15.5" x14ac:dyDescent="0.35">
      <c r="A15" s="1" t="s">
        <v>29</v>
      </c>
      <c r="B15" s="1" t="s">
        <v>30</v>
      </c>
      <c r="C15" s="1">
        <v>15</v>
      </c>
      <c r="D15" s="1" t="s">
        <v>7</v>
      </c>
      <c r="E15" s="2">
        <v>2</v>
      </c>
      <c r="F15" s="3">
        <f t="shared" si="1"/>
        <v>30</v>
      </c>
    </row>
    <row r="16" spans="1:6" ht="15.5" x14ac:dyDescent="0.35">
      <c r="A16" s="1" t="s">
        <v>31</v>
      </c>
      <c r="B16" s="1" t="s">
        <v>32</v>
      </c>
      <c r="C16" s="1">
        <v>15</v>
      </c>
      <c r="D16" s="1" t="s">
        <v>7</v>
      </c>
      <c r="E16" s="2">
        <v>3</v>
      </c>
      <c r="F16" s="3">
        <f t="shared" si="1"/>
        <v>45</v>
      </c>
    </row>
    <row r="17" spans="1:6" ht="15.5" x14ac:dyDescent="0.35">
      <c r="A17" s="1" t="s">
        <v>33</v>
      </c>
      <c r="B17" s="1" t="s">
        <v>34</v>
      </c>
      <c r="C17" s="1">
        <v>60</v>
      </c>
      <c r="D17" s="1" t="s">
        <v>7</v>
      </c>
      <c r="E17" s="2">
        <v>28</v>
      </c>
      <c r="F17" s="3">
        <f t="shared" si="1"/>
        <v>1680</v>
      </c>
    </row>
    <row r="18" spans="1:6" ht="15.5" x14ac:dyDescent="0.35">
      <c r="A18" s="1" t="s">
        <v>33</v>
      </c>
      <c r="B18" s="1" t="s">
        <v>35</v>
      </c>
      <c r="C18" s="1">
        <v>4</v>
      </c>
      <c r="D18" s="1" t="s">
        <v>7</v>
      </c>
      <c r="E18" s="2">
        <v>27</v>
      </c>
      <c r="F18" s="3">
        <f t="shared" si="1"/>
        <v>108</v>
      </c>
    </row>
    <row r="19" spans="1:6" ht="15.5" x14ac:dyDescent="0.35">
      <c r="A19" s="1" t="s">
        <v>36</v>
      </c>
      <c r="B19" s="1"/>
      <c r="C19" s="1">
        <v>4</v>
      </c>
      <c r="D19" s="1" t="s">
        <v>37</v>
      </c>
      <c r="E19" s="2">
        <v>5</v>
      </c>
      <c r="F19" s="3">
        <f t="shared" si="1"/>
        <v>20</v>
      </c>
    </row>
    <row r="20" spans="1:6" ht="15.5" x14ac:dyDescent="0.35">
      <c r="A20" s="1" t="s">
        <v>38</v>
      </c>
      <c r="B20" s="1"/>
      <c r="C20" s="1">
        <v>27</v>
      </c>
      <c r="D20" s="1" t="s">
        <v>37</v>
      </c>
      <c r="E20" s="2">
        <v>3</v>
      </c>
      <c r="F20" s="3">
        <f t="shared" si="1"/>
        <v>81</v>
      </c>
    </row>
    <row r="21" spans="1:6" ht="15.5" x14ac:dyDescent="0.35">
      <c r="A21" s="1" t="s">
        <v>39</v>
      </c>
      <c r="B21" s="1"/>
      <c r="C21" s="1">
        <v>30</v>
      </c>
      <c r="D21" s="1" t="s">
        <v>40</v>
      </c>
      <c r="E21" s="2">
        <v>28</v>
      </c>
      <c r="F21" s="3">
        <f t="shared" si="1"/>
        <v>840</v>
      </c>
    </row>
    <row r="22" spans="1:6" ht="15.5" x14ac:dyDescent="0.35">
      <c r="A22" s="1" t="s">
        <v>41</v>
      </c>
      <c r="B22" s="1"/>
      <c r="C22" s="1">
        <v>5</v>
      </c>
      <c r="D22" s="1" t="s">
        <v>42</v>
      </c>
      <c r="E22" s="2">
        <v>12.5</v>
      </c>
      <c r="F22" s="3">
        <f t="shared" si="1"/>
        <v>62.5</v>
      </c>
    </row>
    <row r="23" spans="1:6" ht="15.5" x14ac:dyDescent="0.35">
      <c r="A23" s="1" t="s">
        <v>43</v>
      </c>
      <c r="B23" s="1"/>
      <c r="C23" s="1">
        <v>30</v>
      </c>
      <c r="D23" s="1" t="s">
        <v>40</v>
      </c>
      <c r="E23" s="2">
        <v>23</v>
      </c>
      <c r="F23" s="3">
        <f t="shared" si="1"/>
        <v>690</v>
      </c>
    </row>
    <row r="24" spans="1:6" ht="15.5" x14ac:dyDescent="0.35">
      <c r="A24" s="1" t="s">
        <v>44</v>
      </c>
      <c r="B24" s="1"/>
      <c r="C24" s="1">
        <v>5</v>
      </c>
      <c r="D24" s="1"/>
      <c r="E24" s="2">
        <v>105</v>
      </c>
      <c r="F24" s="3">
        <f t="shared" si="1"/>
        <v>525</v>
      </c>
    </row>
    <row r="25" spans="1:6" ht="15.5" x14ac:dyDescent="0.35">
      <c r="A25" s="1" t="s">
        <v>45</v>
      </c>
      <c r="B25" s="1" t="s">
        <v>46</v>
      </c>
      <c r="C25" s="1">
        <v>0</v>
      </c>
      <c r="D25" s="1"/>
      <c r="E25" s="2">
        <v>47</v>
      </c>
      <c r="F25" s="3">
        <f t="shared" si="1"/>
        <v>0</v>
      </c>
    </row>
    <row r="26" spans="1:6" ht="15.5" x14ac:dyDescent="0.35">
      <c r="A26" s="1" t="s">
        <v>47</v>
      </c>
      <c r="B26" s="1" t="s">
        <v>48</v>
      </c>
      <c r="C26" s="1">
        <v>0</v>
      </c>
      <c r="D26" s="1"/>
      <c r="E26" s="2">
        <v>1</v>
      </c>
      <c r="F26" s="3">
        <f t="shared" si="1"/>
        <v>0</v>
      </c>
    </row>
    <row r="27" spans="1:6" ht="15.5" x14ac:dyDescent="0.35">
      <c r="A27" s="1" t="s">
        <v>49</v>
      </c>
      <c r="B27" s="1" t="s">
        <v>50</v>
      </c>
      <c r="C27" s="1">
        <v>0</v>
      </c>
      <c r="D27" s="1"/>
      <c r="E27" s="2"/>
      <c r="F27" s="3">
        <f t="shared" si="1"/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126x14m</vt:lpstr>
      <vt:lpstr>126x12m</vt:lpstr>
      <vt:lpstr>100x12m</vt:lpstr>
      <vt:lpstr>100x10m</vt:lpstr>
      <vt:lpstr>80x10m</vt:lpstr>
      <vt:lpstr>60x10m</vt:lpstr>
      <vt:lpstr>50x10m</vt:lpstr>
      <vt:lpstr>40x10m</vt:lpstr>
      <vt:lpstr>30x10m</vt:lpstr>
      <vt:lpstr>25x10m</vt:lpstr>
      <vt:lpstr>20x10m</vt:lpstr>
      <vt:lpstr>10x10m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Kganya Dube</dc:creator>
  <cp:lastModifiedBy>Kganya Dube</cp:lastModifiedBy>
  <dcterms:created xsi:type="dcterms:W3CDTF">2026-04-23T10:40:33Z</dcterms:created>
  <dcterms:modified xsi:type="dcterms:W3CDTF">2026-04-25T08:37:56Z</dcterms:modified>
</cp:coreProperties>
</file>