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sdo\Downloads\"/>
    </mc:Choice>
  </mc:AlternateContent>
  <xr:revisionPtr revIDLastSave="0" documentId="13_ncr:1_{F0C028FA-8BEA-4FFF-8FC5-153AB61E7CB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over" sheetId="1" r:id="rId1"/>
    <sheet name="Tax Computation" sheetId="2" r:id="rId2"/>
    <sheet name="Cap Allowances" sheetId="3" r:id="rId3"/>
    <sheet name="QPD Recon" sheetId="4" r:id="rId4"/>
    <sheet name="WHT Credits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4" i="2" l="1"/>
  <c r="E7" i="6"/>
  <c r="D7" i="6"/>
  <c r="D5" i="6"/>
  <c r="E4" i="6"/>
  <c r="D4" i="6"/>
  <c r="F10" i="5"/>
  <c r="D13" i="6" s="1"/>
  <c r="F8" i="4"/>
  <c r="E12" i="6" s="1"/>
  <c r="E8" i="4"/>
  <c r="D12" i="6" s="1"/>
  <c r="G62" i="3"/>
  <c r="G20" i="2" s="1"/>
  <c r="F43" i="3"/>
  <c r="F19" i="2" s="1"/>
  <c r="F25" i="2" s="1"/>
  <c r="E6" i="6" s="1"/>
  <c r="F10" i="3"/>
  <c r="E9" i="3"/>
  <c r="G9" i="3" s="1"/>
  <c r="E8" i="3"/>
  <c r="G8" i="3" s="1"/>
  <c r="E7" i="3"/>
  <c r="G7" i="3" s="1"/>
  <c r="E6" i="3"/>
  <c r="G6" i="3" s="1"/>
  <c r="E5" i="3"/>
  <c r="G5" i="3" s="1"/>
  <c r="G43" i="2"/>
  <c r="G30" i="2"/>
  <c r="F30" i="2"/>
  <c r="E30" i="2"/>
  <c r="F20" i="2"/>
  <c r="E20" i="2"/>
  <c r="G17" i="2"/>
  <c r="F17" i="2"/>
  <c r="E5" i="6" s="1"/>
  <c r="E17" i="2"/>
  <c r="G7" i="2"/>
  <c r="F7" i="2"/>
  <c r="E7" i="2"/>
  <c r="E45" i="2" l="1"/>
  <c r="F32" i="2"/>
  <c r="G10" i="3"/>
  <c r="G43" i="3" s="1"/>
  <c r="G19" i="2" s="1"/>
  <c r="G25" i="2" s="1"/>
  <c r="G32" i="2" s="1"/>
  <c r="E10" i="3"/>
  <c r="E43" i="3" s="1"/>
  <c r="E19" i="2" s="1"/>
  <c r="E25" i="2" s="1"/>
  <c r="D6" i="6" s="1"/>
  <c r="G35" i="2" l="1"/>
  <c r="G34" i="2"/>
  <c r="G38" i="2" s="1"/>
  <c r="E32" i="2"/>
  <c r="F35" i="2"/>
  <c r="F34" i="2"/>
  <c r="F38" i="2" l="1"/>
  <c r="E8" i="6"/>
  <c r="E34" i="2"/>
  <c r="E35" i="2"/>
  <c r="G39" i="2"/>
  <c r="G40" i="2" s="1"/>
  <c r="E38" i="2" l="1"/>
  <c r="D8" i="6"/>
  <c r="F39" i="2"/>
  <c r="E10" i="6" s="1"/>
  <c r="E9" i="6"/>
  <c r="F40" i="2" l="1"/>
  <c r="E39" i="2"/>
  <c r="D10" i="6" s="1"/>
  <c r="D9" i="6"/>
  <c r="E11" i="6" l="1"/>
  <c r="F10" i="4"/>
  <c r="F11" i="4" s="1"/>
  <c r="E14" i="6" s="1"/>
  <c r="E40" i="2"/>
  <c r="D11" i="6" l="1"/>
  <c r="E10" i="4"/>
  <c r="E11" i="4" s="1"/>
  <c r="D14" i="6" s="1"/>
</calcChain>
</file>

<file path=xl/sharedStrings.xml><?xml version="1.0" encoding="utf-8"?>
<sst xmlns="http://schemas.openxmlformats.org/spreadsheetml/2006/main" count="179" uniqueCount="174">
  <si>
    <t>ZIMBABWE REVENUE AUTHORITY</t>
  </si>
  <si>
    <t>ITF12C — CORPORATE INCOME TAX SELF-ASSESSMENT RETURN</t>
  </si>
  <si>
    <t>Income Tax Act [Chapter 23:06] | Finance Act [Chapter 23:04] | Section 37A</t>
  </si>
  <si>
    <t xml:space="preserve">  PART 1 — TAXPAYER PARTICULARS</t>
  </si>
  <si>
    <t>Taxpayer Name</t>
  </si>
  <si>
    <t>TIN</t>
  </si>
  <si>
    <t>Registered Address</t>
  </si>
  <si>
    <t>Nature of Business / SIC</t>
  </si>
  <si>
    <t>Year of Assessment</t>
  </si>
  <si>
    <t>Financial Year End</t>
  </si>
  <si>
    <t>Approved Subst. Acc. Period (if applicable)</t>
  </si>
  <si>
    <t>Currency of Books (USD / ZiG / Both)</t>
  </si>
  <si>
    <t>Auditor / Accounting Firm</t>
  </si>
  <si>
    <t>Contact Person</t>
  </si>
  <si>
    <t>Contact Email</t>
  </si>
  <si>
    <t>Contact Phone</t>
  </si>
  <si>
    <t xml:space="preserve">  COLOUR-CODING LEGEND</t>
  </si>
  <si>
    <t xml:space="preserve">  Input cells — enter data here (blue text)</t>
  </si>
  <si>
    <t xml:space="preserve">  Formula cells — do not overwrite (black text)</t>
  </si>
  <si>
    <t xml:space="preserve">  Subtotal / total rows</t>
  </si>
  <si>
    <t xml:space="preserve">  Reference / informational rows</t>
  </si>
  <si>
    <t xml:space="preserve">  WORKBOOK TABS — NAVIGATION</t>
  </si>
  <si>
    <t>Cover</t>
  </si>
  <si>
    <t>Taxpayer particulars &amp; legend</t>
  </si>
  <si>
    <t>Tax Computation</t>
  </si>
  <si>
    <t>Core profit-to-taxable-income bridge (USD &amp; ZiG)</t>
  </si>
  <si>
    <t>Cap Allowances</t>
  </si>
  <si>
    <t>SIA, Wear &amp; Tear schedule</t>
  </si>
  <si>
    <t>QPD Recon</t>
  </si>
  <si>
    <t>Quarterly payment date reconciliation</t>
  </si>
  <si>
    <t>WHT Credits</t>
  </si>
  <si>
    <t>Withholding tax credit register</t>
  </si>
  <si>
    <t>Summary</t>
  </si>
  <si>
    <t>Final tax liability &amp; return sign-off</t>
  </si>
  <si>
    <t>ITF12C — TAX COMPUTATION WORKSHEET</t>
  </si>
  <si>
    <t>Note</t>
  </si>
  <si>
    <t>USD (US$)</t>
  </si>
  <si>
    <t>ZiG (ZWG)</t>
  </si>
  <si>
    <t>Total (USD equiv)</t>
  </si>
  <si>
    <t>SECTION A — ACCOUNTING PROFIT / (LOSS)</t>
  </si>
  <si>
    <t>Profit / (Loss) before tax per financial statements</t>
  </si>
  <si>
    <t>1</t>
  </si>
  <si>
    <t>Less: Prior-year adjustments included above</t>
  </si>
  <si>
    <t>2</t>
  </si>
  <si>
    <t>Adjusted accounting profit / (loss)</t>
  </si>
  <si>
    <t>SECTION B — ADD BACKS (NON-DEDUCTIBLE EXPENDITURE)</t>
  </si>
  <si>
    <t>Depreciation / amortisation charged in accounts</t>
  </si>
  <si>
    <t>3</t>
  </si>
  <si>
    <t>Penalties &amp; interest on tax (non-deductible)</t>
  </si>
  <si>
    <t>4</t>
  </si>
  <si>
    <t>Fines &amp; statutory penalties</t>
  </si>
  <si>
    <t>5</t>
  </si>
  <si>
    <t>Provisions not yet incurred / contingent liabilities</t>
  </si>
  <si>
    <t>6</t>
  </si>
  <si>
    <t>Entertainment (non-deductible portion)</t>
  </si>
  <si>
    <t>7</t>
  </si>
  <si>
    <t>Donations exceeding prescribed limit</t>
  </si>
  <si>
    <t>8</t>
  </si>
  <si>
    <t>Related-party expenses disallowed (thin cap / TP)</t>
  </si>
  <si>
    <t>9</t>
  </si>
  <si>
    <t>Other non-deductible expenditure (specify)</t>
  </si>
  <si>
    <t>10</t>
  </si>
  <si>
    <t>Total Add Backs</t>
  </si>
  <si>
    <t>SECTION C — ALLOWABLE DEDUCTIONS</t>
  </si>
  <si>
    <t>Capital allowances — SIA (from Cap Allowances sheet)</t>
  </si>
  <si>
    <t>11</t>
  </si>
  <si>
    <t>Wear &amp; Tear allowances (from Cap Allowances sheet)</t>
  </si>
  <si>
    <t>12</t>
  </si>
  <si>
    <t>Bad debts written off (meeting ITA requirements)</t>
  </si>
  <si>
    <t>13</t>
  </si>
  <si>
    <t>Research &amp; development expenditure (approved)</t>
  </si>
  <si>
    <t>14</t>
  </si>
  <si>
    <t>Export incentive deduction (s15(2)(b))</t>
  </si>
  <si>
    <t>15</t>
  </si>
  <si>
    <t>Other allowable deductions (specify)</t>
  </si>
  <si>
    <t>16</t>
  </si>
  <si>
    <t>Total Deductions</t>
  </si>
  <si>
    <t>SECTION D — EXEMPT INCOME</t>
  </si>
  <si>
    <t>Dividends from Zimbabwean resident companies</t>
  </si>
  <si>
    <t>17</t>
  </si>
  <si>
    <t>Capital receipts not subject to income tax</t>
  </si>
  <si>
    <t>18</t>
  </si>
  <si>
    <t>Other exempt income (specify)</t>
  </si>
  <si>
    <t>19</t>
  </si>
  <si>
    <t>Total Exempt Income</t>
  </si>
  <si>
    <t>SECTION E — TAXABLE INCOME / (ASSESSED LOSS)</t>
  </si>
  <si>
    <t>Net income before assessed loss</t>
  </si>
  <si>
    <t>Less: Assessed loss brought forward (prior year)</t>
  </si>
  <si>
    <t>20</t>
  </si>
  <si>
    <t>TAXABLE INCOME / (ASSESSED LOSS) CARRIED FORWARD</t>
  </si>
  <si>
    <t>Assessed loss to carry forward (if applicable)</t>
  </si>
  <si>
    <t>SECTION F — INCOME TAX COMPUTATION</t>
  </si>
  <si>
    <t>Tax rate applicable (%)</t>
  </si>
  <si>
    <t>21</t>
  </si>
  <si>
    <t>Gross income tax (taxable income × rate)</t>
  </si>
  <si>
    <t>AIDS Levy (3% of gross tax)</t>
  </si>
  <si>
    <t>TOTAL TAX LIABILITY (incl. AIDS Levy)</t>
  </si>
  <si>
    <t>SECTION G — DUAL CURRENCY 50/50 RULE (Finance Act s.4A)</t>
  </si>
  <si>
    <t xml:space="preserve">  If &gt;50% of total income is in USD → treat exactly 50% as USD and 50% as ZiG for tax purposes</t>
  </si>
  <si>
    <t>Total income (USD + ZiG combined)</t>
  </si>
  <si>
    <t>22</t>
  </si>
  <si>
    <t>USD portion as % of total income</t>
  </si>
  <si>
    <t>23</t>
  </si>
  <si>
    <t>50/50 rule triggered? (YES if USD% &gt; 50%)</t>
  </si>
  <si>
    <t>24</t>
  </si>
  <si>
    <t>CAPITAL ALLOWANCES SCHEDULE — SIA &amp; WEAR AND TEAR</t>
  </si>
  <si>
    <t>Asset Description</t>
  </si>
  <si>
    <t>Asset Cost</t>
  </si>
  <si>
    <t>USD</t>
  </si>
  <si>
    <t>ZiG</t>
  </si>
  <si>
    <t>Total</t>
  </si>
  <si>
    <t xml:space="preserve">  SPECIAL INITIAL ALLOWANCE (SIA) — 50% in year of purchase</t>
  </si>
  <si>
    <t>Manufacturing plant &amp; machinery</t>
  </si>
  <si>
    <t>Commercial vehicles</t>
  </si>
  <si>
    <t>Computer equipment &amp; servers</t>
  </si>
  <si>
    <t>Office furniture &amp; fittings</t>
  </si>
  <si>
    <t>Other qualifying assets</t>
  </si>
  <si>
    <t xml:space="preserve">  Total SIA</t>
  </si>
  <si>
    <t xml:space="preserve">  [Linked to Tax Computation Sheet]</t>
  </si>
  <si>
    <t xml:space="preserve">  Wear &amp; Tear [Linked to Tax Computation Sheet]</t>
  </si>
  <si>
    <t>QUARTERLY PAYMENT DATES (QPD) RECONCILIATION</t>
  </si>
  <si>
    <t>QPD</t>
  </si>
  <si>
    <t>Due Date</t>
  </si>
  <si>
    <t>USD Paid</t>
  </si>
  <si>
    <t>ZiG Paid</t>
  </si>
  <si>
    <t>Receipt / Ref No.</t>
  </si>
  <si>
    <t>TaRMS Ref</t>
  </si>
  <si>
    <t>1st QPD (25%)</t>
  </si>
  <si>
    <t>25 March</t>
  </si>
  <si>
    <t>2nd QPD (25%)</t>
  </si>
  <si>
    <t>25 June</t>
  </si>
  <si>
    <t>3rd QPD (25%)</t>
  </si>
  <si>
    <t>25 September</t>
  </si>
  <si>
    <t>4th QPD (25%)</t>
  </si>
  <si>
    <t>20 December</t>
  </si>
  <si>
    <t xml:space="preserve">  TOTAL QPDs PAID</t>
  </si>
  <si>
    <t xml:space="preserve">  Total Tax Liability (from Tax Computation)</t>
  </si>
  <si>
    <t xml:space="preserve">  Balance of Tax Payable / (Refund Due)</t>
  </si>
  <si>
    <t>WITHHOLDING TAX (WHT) CREDIT REGISTER</t>
  </si>
  <si>
    <t>WHT Type</t>
  </si>
  <si>
    <t>WHT Rate</t>
  </si>
  <si>
    <t>Gross Amount</t>
  </si>
  <si>
    <t>WHT Deducted</t>
  </si>
  <si>
    <t>Certificate Ref</t>
  </si>
  <si>
    <t>Dividends received</t>
  </si>
  <si>
    <t>15%</t>
  </si>
  <si>
    <t>Interest received</t>
  </si>
  <si>
    <t>Contract / service fees</t>
  </si>
  <si>
    <t>10%</t>
  </si>
  <si>
    <t>Rent received</t>
  </si>
  <si>
    <t>Royalties</t>
  </si>
  <si>
    <t>Other WHT</t>
  </si>
  <si>
    <t xml:space="preserve">  TOTAL WHT CREDITS</t>
  </si>
  <si>
    <t>ITF12C — FINAL SUMMARY &amp; RETURN SIGN-OFF</t>
  </si>
  <si>
    <t>Description</t>
  </si>
  <si>
    <t xml:space="preserve">  Accounting Profit / (Loss)</t>
  </si>
  <si>
    <t xml:space="preserve">  Total Add Backs</t>
  </si>
  <si>
    <t xml:space="preserve">  Total Deductions</t>
  </si>
  <si>
    <t xml:space="preserve">  Total Exempt Income</t>
  </si>
  <si>
    <t xml:space="preserve">  Taxable Income / (Assessed Loss)</t>
  </si>
  <si>
    <t xml:space="preserve">  Gross Income Tax</t>
  </si>
  <si>
    <t xml:space="preserve">  AIDS Levy (3%)</t>
  </si>
  <si>
    <t xml:space="preserve">  Total Tax Liability</t>
  </si>
  <si>
    <t xml:space="preserve">  Less: QPD Payments</t>
  </si>
  <si>
    <t xml:space="preserve">  Less: WHT Credits</t>
  </si>
  <si>
    <t xml:space="preserve">  BALANCE OF TAX PAYABLE / (REFUND)</t>
  </si>
  <si>
    <t xml:space="preserve">  DECLARATION</t>
  </si>
  <si>
    <t>I/We declare that the information furnished in this return and the</t>
  </si>
  <si>
    <t>accompanying financial statements is true, correct and complete.</t>
  </si>
  <si>
    <t>Name of authorised signatory: ___________________________</t>
  </si>
  <si>
    <t>Designation:                  ___________________________</t>
  </si>
  <si>
    <t>Signature:                    ___________________________</t>
  </si>
  <si>
    <t>Date:                         ___________________________</t>
  </si>
  <si>
    <t>Company Stamp (if applicable):___________________________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</si>
</sst>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\-"/>
    <numFmt numFmtId="165" formatCode="0.0%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charset val="1"/>
    </font>
    <font>
      <i/>
      <sz val="8"/>
      <color rgb="FF000000"/>
      <name val="Arial"/>
      <charset val="1"/>
    </font>
    <font>
      <i/>
      <sz val="9"/>
      <color rgb="FF000000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b/>
      <sz val="11"/>
      <color rgb="FF008000"/>
      <name val="Arial"/>
      <charset val="1"/>
    </font>
    <font>
      <b/>
      <sz val="11"/>
      <color rgb="FFC00000"/>
      <name val="Arial"/>
      <charset val="1"/>
    </font>
    <font>
      <sz val="11"/>
      <color rgb="FF000000"/>
      <name val="Arial"/>
      <charset val="1"/>
    </font>
    <font>
      <i/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E2EFDA"/>
        <bgColor rgb="FFEBF3FB"/>
      </patternFill>
    </fill>
    <fill>
      <patternFill patternType="solid">
        <fgColor rgb="FFD6E4F0"/>
        <b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4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left" vertical="center"/>
    </xf>
    <xf numFmtId="164" fontId="5" fillId="7" borderId="2" xfId="0" applyNumberFormat="1" applyFont="1" applyFill="1" applyBorder="1" applyAlignment="1">
      <alignment horizontal="right" vertical="center"/>
    </xf>
    <xf numFmtId="164" fontId="9" fillId="6" borderId="2" xfId="0" applyNumberFormat="1" applyFont="1" applyFill="1" applyBorder="1" applyAlignment="1">
      <alignment horizontal="right" vertical="center"/>
    </xf>
    <xf numFmtId="10" fontId="6" fillId="5" borderId="2" xfId="0" applyNumberFormat="1" applyFont="1" applyFill="1" applyBorder="1" applyAlignment="1">
      <alignment horizontal="right" vertical="center"/>
    </xf>
    <xf numFmtId="165" fontId="9" fillId="6" borderId="2" xfId="0" applyNumberFormat="1" applyFont="1" applyFill="1" applyBorder="1" applyAlignment="1">
      <alignment horizontal="right" vertical="center"/>
    </xf>
    <xf numFmtId="49" fontId="9" fillId="6" borderId="2" xfId="0" applyNumberFormat="1" applyFont="1" applyFill="1" applyBorder="1" applyAlignment="1">
      <alignment horizontal="right" vertical="center"/>
    </xf>
    <xf numFmtId="164" fontId="13" fillId="6" borderId="2" xfId="0" applyNumberFormat="1" applyFont="1" applyFill="1" applyBorder="1" applyAlignment="1">
      <alignment horizontal="right" vertical="center"/>
    </xf>
    <xf numFmtId="164" fontId="0" fillId="0" borderId="2" xfId="0" applyNumberFormat="1" applyBorder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164" fontId="14" fillId="7" borderId="2" xfId="0" applyNumberFormat="1" applyFont="1" applyFill="1" applyBorder="1" applyAlignment="1">
      <alignment horizontal="right" vertical="center"/>
    </xf>
    <xf numFmtId="49" fontId="15" fillId="8" borderId="2" xfId="0" applyNumberFormat="1" applyFont="1" applyFill="1" applyBorder="1"/>
    <xf numFmtId="164" fontId="15" fillId="8" borderId="2" xfId="0" applyNumberFormat="1" applyFont="1" applyFill="1" applyBorder="1"/>
    <xf numFmtId="0" fontId="9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164" fontId="16" fillId="4" borderId="2" xfId="0" applyNumberFormat="1" applyFont="1" applyFill="1" applyBorder="1" applyAlignment="1">
      <alignment horizontal="right" vertical="center"/>
    </xf>
    <xf numFmtId="164" fontId="17" fillId="7" borderId="2" xfId="0" applyNumberFormat="1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left" vertical="center"/>
    </xf>
    <xf numFmtId="164" fontId="6" fillId="5" borderId="2" xfId="0" applyNumberFormat="1" applyFont="1" applyFill="1" applyBorder="1" applyAlignment="1">
      <alignment horizontal="left" vertical="center"/>
    </xf>
    <xf numFmtId="164" fontId="18" fillId="4" borderId="2" xfId="0" applyNumberFormat="1" applyFont="1" applyFill="1" applyBorder="1" applyAlignment="1">
      <alignment horizontal="right" vertical="center"/>
    </xf>
    <xf numFmtId="164" fontId="18" fillId="6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4" fillId="3" borderId="1" xfId="0" applyFont="1" applyFill="1" applyBorder="1"/>
    <xf numFmtId="0" fontId="13" fillId="6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opLeftCell="A13" zoomScaleNormal="100" workbookViewId="0">
      <selection activeCell="A8" sqref="A8:XFD8"/>
    </sheetView>
  </sheetViews>
  <sheetFormatPr defaultColWidth="8.6640625" defaultRowHeight="14.4" x14ac:dyDescent="0.3"/>
  <cols>
    <col min="1" max="1" width="4" customWidth="1"/>
    <col min="2" max="2" width="39.109375" bestFit="1" customWidth="1"/>
    <col min="3" max="3" width="28" customWidth="1"/>
    <col min="4" max="6" width="18" customWidth="1"/>
  </cols>
  <sheetData>
    <row r="1" spans="1:6" ht="7.5" customHeight="1" x14ac:dyDescent="0.3"/>
    <row r="2" spans="1:6" ht="36" customHeight="1" x14ac:dyDescent="0.3">
      <c r="B2" s="34" t="s">
        <v>0</v>
      </c>
      <c r="C2" s="34"/>
      <c r="D2" s="34"/>
      <c r="E2" s="34"/>
      <c r="F2" s="34"/>
    </row>
    <row r="3" spans="1:6" ht="19.5" customHeight="1" x14ac:dyDescent="0.3">
      <c r="B3" s="35" t="s">
        <v>1</v>
      </c>
      <c r="C3" s="35"/>
      <c r="D3" s="35"/>
      <c r="E3" s="35"/>
      <c r="F3" s="35"/>
    </row>
    <row r="4" spans="1:6" ht="15.75" customHeight="1" x14ac:dyDescent="0.3">
      <c r="B4" s="36" t="s">
        <v>2</v>
      </c>
      <c r="C4" s="36"/>
      <c r="D4" s="36"/>
      <c r="E4" s="36"/>
      <c r="F4" s="36"/>
    </row>
    <row r="5" spans="1:6" ht="9.75" customHeight="1" x14ac:dyDescent="0.3"/>
    <row r="6" spans="1:6" x14ac:dyDescent="0.3">
      <c r="A6" s="33" t="s">
        <v>3</v>
      </c>
      <c r="B6" s="33"/>
      <c r="C6" s="33"/>
      <c r="D6" s="33"/>
      <c r="E6" s="33"/>
    </row>
    <row r="7" spans="1:6" ht="18" customHeight="1" x14ac:dyDescent="0.3">
      <c r="B7" s="1" t="s">
        <v>4</v>
      </c>
      <c r="C7" s="32"/>
      <c r="D7" s="32"/>
      <c r="E7" s="32"/>
    </row>
    <row r="8" spans="1:6" ht="18" customHeight="1" x14ac:dyDescent="0.3">
      <c r="B8" s="1" t="s">
        <v>5</v>
      </c>
      <c r="C8" s="32"/>
      <c r="D8" s="32"/>
      <c r="E8" s="32"/>
    </row>
    <row r="9" spans="1:6" ht="18" customHeight="1" x14ac:dyDescent="0.3">
      <c r="B9" s="1" t="s">
        <v>6</v>
      </c>
      <c r="C9" s="32"/>
      <c r="D9" s="32"/>
      <c r="E9" s="32"/>
    </row>
    <row r="10" spans="1:6" ht="18" customHeight="1" x14ac:dyDescent="0.3">
      <c r="B10" s="1" t="s">
        <v>7</v>
      </c>
      <c r="C10" s="32"/>
      <c r="D10" s="32"/>
      <c r="E10" s="32"/>
    </row>
    <row r="11" spans="1:6" ht="18" customHeight="1" x14ac:dyDescent="0.3">
      <c r="B11" s="1" t="s">
        <v>8</v>
      </c>
      <c r="C11" s="32"/>
      <c r="D11" s="32"/>
      <c r="E11" s="32"/>
    </row>
    <row r="12" spans="1:6" ht="18" customHeight="1" x14ac:dyDescent="0.3">
      <c r="B12" s="1" t="s">
        <v>9</v>
      </c>
      <c r="C12" s="32"/>
      <c r="D12" s="32"/>
      <c r="E12" s="32"/>
    </row>
    <row r="13" spans="1:6" ht="18" customHeight="1" x14ac:dyDescent="0.3">
      <c r="B13" s="1" t="s">
        <v>10</v>
      </c>
      <c r="C13" s="32"/>
      <c r="D13" s="32"/>
      <c r="E13" s="32"/>
    </row>
    <row r="14" spans="1:6" ht="18" customHeight="1" x14ac:dyDescent="0.3">
      <c r="B14" s="1" t="s">
        <v>11</v>
      </c>
      <c r="C14" s="32"/>
      <c r="D14" s="32"/>
      <c r="E14" s="32"/>
    </row>
    <row r="15" spans="1:6" ht="18" customHeight="1" x14ac:dyDescent="0.3">
      <c r="B15" s="1" t="s">
        <v>12</v>
      </c>
      <c r="C15" s="32"/>
      <c r="D15" s="32"/>
      <c r="E15" s="32"/>
    </row>
    <row r="16" spans="1:6" ht="18" customHeight="1" x14ac:dyDescent="0.3">
      <c r="B16" s="1" t="s">
        <v>13</v>
      </c>
      <c r="C16" s="32"/>
      <c r="D16" s="32"/>
      <c r="E16" s="32"/>
    </row>
    <row r="17" spans="1:5" ht="18" customHeight="1" x14ac:dyDescent="0.3">
      <c r="B17" s="1" t="s">
        <v>14</v>
      </c>
      <c r="C17" s="32"/>
      <c r="D17" s="32"/>
      <c r="E17" s="32"/>
    </row>
    <row r="18" spans="1:5" ht="18" customHeight="1" x14ac:dyDescent="0.3">
      <c r="B18" s="1" t="s">
        <v>15</v>
      </c>
      <c r="C18" s="32"/>
      <c r="D18" s="32"/>
      <c r="E18" s="32"/>
    </row>
    <row r="19" spans="1:5" ht="9.75" customHeight="1" x14ac:dyDescent="0.3"/>
    <row r="20" spans="1:5" x14ac:dyDescent="0.3">
      <c r="A20" s="33" t="s">
        <v>16</v>
      </c>
      <c r="B20" s="33"/>
      <c r="C20" s="33"/>
      <c r="D20" s="33"/>
      <c r="E20" s="33"/>
    </row>
    <row r="21" spans="1:5" ht="15.75" customHeight="1" x14ac:dyDescent="0.3">
      <c r="B21" s="2" t="s">
        <v>17</v>
      </c>
    </row>
    <row r="22" spans="1:5" ht="15.75" customHeight="1" x14ac:dyDescent="0.3">
      <c r="B22" s="3" t="s">
        <v>18</v>
      </c>
    </row>
    <row r="23" spans="1:5" ht="15.75" customHeight="1" x14ac:dyDescent="0.3">
      <c r="B23" s="4" t="s">
        <v>19</v>
      </c>
    </row>
    <row r="24" spans="1:5" ht="15.75" customHeight="1" x14ac:dyDescent="0.3">
      <c r="B24" s="5" t="s">
        <v>20</v>
      </c>
    </row>
    <row r="26" spans="1:5" ht="9.75" customHeight="1" x14ac:dyDescent="0.3"/>
    <row r="27" spans="1:5" x14ac:dyDescent="0.3">
      <c r="A27" s="33" t="s">
        <v>21</v>
      </c>
      <c r="B27" s="33"/>
      <c r="C27" s="33"/>
      <c r="D27" s="33"/>
      <c r="E27" s="33"/>
    </row>
    <row r="28" spans="1:5" ht="15.75" customHeight="1" x14ac:dyDescent="0.3">
      <c r="B28" s="1" t="s">
        <v>22</v>
      </c>
      <c r="C28" s="6" t="s">
        <v>23</v>
      </c>
    </row>
    <row r="29" spans="1:5" ht="15.75" customHeight="1" x14ac:dyDescent="0.3">
      <c r="B29" s="1" t="s">
        <v>24</v>
      </c>
      <c r="C29" s="6" t="s">
        <v>25</v>
      </c>
    </row>
    <row r="30" spans="1:5" ht="15.75" customHeight="1" x14ac:dyDescent="0.3">
      <c r="B30" s="1" t="s">
        <v>26</v>
      </c>
      <c r="C30" s="6" t="s">
        <v>27</v>
      </c>
    </row>
    <row r="31" spans="1:5" ht="15.75" customHeight="1" x14ac:dyDescent="0.3">
      <c r="B31" s="1" t="s">
        <v>28</v>
      </c>
      <c r="C31" s="6" t="s">
        <v>29</v>
      </c>
    </row>
    <row r="32" spans="1:5" ht="15.75" customHeight="1" x14ac:dyDescent="0.3">
      <c r="B32" s="1" t="s">
        <v>30</v>
      </c>
      <c r="C32" s="6" t="s">
        <v>31</v>
      </c>
    </row>
    <row r="33" spans="2:3" ht="15.75" customHeight="1" x14ac:dyDescent="0.3">
      <c r="B33" s="1" t="s">
        <v>32</v>
      </c>
      <c r="C33" s="6" t="s">
        <v>33</v>
      </c>
    </row>
  </sheetData>
  <mergeCells count="18">
    <mergeCell ref="B2:F2"/>
    <mergeCell ref="B3:F3"/>
    <mergeCell ref="B4:F4"/>
    <mergeCell ref="A6:E6"/>
    <mergeCell ref="C7:E7"/>
    <mergeCell ref="C8:E8"/>
    <mergeCell ref="C9:E9"/>
    <mergeCell ref="C10:E10"/>
    <mergeCell ref="C11:E11"/>
    <mergeCell ref="C17:E17"/>
    <mergeCell ref="C18:E18"/>
    <mergeCell ref="A20:E20"/>
    <mergeCell ref="A27:E27"/>
    <mergeCell ref="C12:E12"/>
    <mergeCell ref="C13:E13"/>
    <mergeCell ref="C14:E14"/>
    <mergeCell ref="C15:E15"/>
    <mergeCell ref="C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45"/>
  <sheetViews>
    <sheetView showGridLines="0" tabSelected="1" topLeftCell="A14" zoomScaleNormal="100" workbookViewId="0">
      <selection activeCell="F27" sqref="F27"/>
    </sheetView>
  </sheetViews>
  <sheetFormatPr defaultColWidth="8.6640625" defaultRowHeight="14.4" x14ac:dyDescent="0.3"/>
  <cols>
    <col min="1" max="1" width="4" customWidth="1"/>
    <col min="2" max="2" width="5" customWidth="1"/>
    <col min="3" max="3" width="55.88671875" bestFit="1" customWidth="1"/>
    <col min="4" max="4" width="6" customWidth="1"/>
    <col min="5" max="7" width="20" customWidth="1"/>
  </cols>
  <sheetData>
    <row r="1" spans="3:11" ht="7.5" customHeight="1" x14ac:dyDescent="0.3"/>
    <row r="2" spans="3:11" ht="27.75" customHeight="1" x14ac:dyDescent="0.3">
      <c r="C2" s="38" t="s">
        <v>34</v>
      </c>
      <c r="D2" s="38"/>
      <c r="E2" s="38"/>
      <c r="F2" s="38"/>
      <c r="G2" s="38"/>
    </row>
    <row r="3" spans="3:11" ht="18" customHeight="1" x14ac:dyDescent="0.3">
      <c r="C3" s="7" t="s">
        <v>35</v>
      </c>
      <c r="D3" s="7"/>
      <c r="E3" s="7" t="s">
        <v>36</v>
      </c>
      <c r="F3" s="7" t="s">
        <v>37</v>
      </c>
      <c r="G3" s="7" t="s">
        <v>38</v>
      </c>
    </row>
    <row r="4" spans="3:11" ht="16.5" customHeight="1" x14ac:dyDescent="0.3">
      <c r="C4" s="33" t="s">
        <v>39</v>
      </c>
      <c r="D4" s="33"/>
      <c r="E4" s="33"/>
      <c r="F4" s="33"/>
      <c r="G4" s="33"/>
    </row>
    <row r="5" spans="3:11" ht="16.5" customHeight="1" x14ac:dyDescent="0.3">
      <c r="C5" s="8" t="s">
        <v>40</v>
      </c>
      <c r="D5" s="9" t="s">
        <v>41</v>
      </c>
      <c r="E5" s="10"/>
      <c r="F5" s="10"/>
      <c r="G5" s="10">
        <v>-9580</v>
      </c>
    </row>
    <row r="6" spans="3:11" ht="16.5" customHeight="1" x14ac:dyDescent="0.3">
      <c r="C6" s="8" t="s">
        <v>42</v>
      </c>
      <c r="D6" s="9" t="s">
        <v>43</v>
      </c>
      <c r="E6" s="10"/>
      <c r="F6" s="10"/>
      <c r="G6" s="10"/>
    </row>
    <row r="7" spans="3:11" ht="16.5" customHeight="1" x14ac:dyDescent="0.3">
      <c r="C7" s="11" t="s">
        <v>44</v>
      </c>
      <c r="D7" s="9"/>
      <c r="E7" s="12">
        <f>E5-E6</f>
        <v>0</v>
      </c>
      <c r="F7" s="12">
        <f>F5-F6</f>
        <v>0</v>
      </c>
      <c r="G7" s="12">
        <f>G5-G6</f>
        <v>-9580</v>
      </c>
    </row>
    <row r="8" spans="3:11" ht="16.5" customHeight="1" x14ac:dyDescent="0.3">
      <c r="C8" s="33" t="s">
        <v>45</v>
      </c>
      <c r="D8" s="33"/>
      <c r="E8" s="33"/>
      <c r="F8" s="33"/>
      <c r="G8" s="33"/>
    </row>
    <row r="9" spans="3:11" ht="16.5" customHeight="1" x14ac:dyDescent="0.3">
      <c r="C9" s="8" t="s">
        <v>46</v>
      </c>
      <c r="D9" s="9" t="s">
        <v>47</v>
      </c>
      <c r="E9" s="10"/>
      <c r="F9" s="10"/>
      <c r="G9" s="10">
        <v>2851</v>
      </c>
      <c r="K9" s="42"/>
    </row>
    <row r="10" spans="3:11" ht="16.5" customHeight="1" x14ac:dyDescent="0.3">
      <c r="C10" s="8" t="s">
        <v>48</v>
      </c>
      <c r="D10" s="9" t="s">
        <v>49</v>
      </c>
      <c r="E10" s="10"/>
      <c r="F10" s="10"/>
      <c r="G10" s="10">
        <v>4518</v>
      </c>
    </row>
    <row r="11" spans="3:11" ht="16.5" customHeight="1" x14ac:dyDescent="0.3">
      <c r="C11" s="8" t="s">
        <v>50</v>
      </c>
      <c r="D11" s="9" t="s">
        <v>51</v>
      </c>
      <c r="E11" s="10"/>
      <c r="F11" s="10"/>
      <c r="G11" s="10"/>
    </row>
    <row r="12" spans="3:11" ht="16.5" customHeight="1" x14ac:dyDescent="0.3">
      <c r="C12" s="8" t="s">
        <v>52</v>
      </c>
      <c r="D12" s="9" t="s">
        <v>53</v>
      </c>
      <c r="E12" s="10"/>
      <c r="F12" s="10"/>
      <c r="G12" s="10"/>
    </row>
    <row r="13" spans="3:11" ht="16.5" customHeight="1" x14ac:dyDescent="0.3">
      <c r="C13" s="8" t="s">
        <v>54</v>
      </c>
      <c r="D13" s="9" t="s">
        <v>55</v>
      </c>
      <c r="E13" s="10"/>
      <c r="F13" s="10"/>
      <c r="G13" s="10"/>
    </row>
    <row r="14" spans="3:11" ht="16.5" customHeight="1" x14ac:dyDescent="0.3">
      <c r="C14" s="8" t="s">
        <v>56</v>
      </c>
      <c r="D14" s="9" t="s">
        <v>57</v>
      </c>
      <c r="E14" s="10"/>
      <c r="F14" s="10"/>
      <c r="G14" s="10"/>
    </row>
    <row r="15" spans="3:11" ht="16.5" customHeight="1" x14ac:dyDescent="0.3">
      <c r="C15" s="8" t="s">
        <v>58</v>
      </c>
      <c r="D15" s="9" t="s">
        <v>59</v>
      </c>
      <c r="E15" s="10"/>
      <c r="F15" s="10"/>
      <c r="G15" s="10"/>
    </row>
    <row r="16" spans="3:11" ht="16.5" customHeight="1" x14ac:dyDescent="0.3">
      <c r="C16" s="8" t="s">
        <v>60</v>
      </c>
      <c r="D16" s="9" t="s">
        <v>61</v>
      </c>
      <c r="E16" s="10"/>
      <c r="F16" s="10"/>
      <c r="G16" s="10"/>
    </row>
    <row r="17" spans="3:7" ht="16.5" customHeight="1" x14ac:dyDescent="0.3">
      <c r="C17" s="11" t="s">
        <v>62</v>
      </c>
      <c r="D17" s="9"/>
      <c r="E17" s="12">
        <f>SUM(E9:E16)</f>
        <v>0</v>
      </c>
      <c r="F17" s="12">
        <f>SUM(F9:F16)</f>
        <v>0</v>
      </c>
      <c r="G17" s="12">
        <f>SUM(G9:G16)</f>
        <v>7369</v>
      </c>
    </row>
    <row r="18" spans="3:7" ht="16.5" customHeight="1" x14ac:dyDescent="0.3">
      <c r="C18" s="33" t="s">
        <v>63</v>
      </c>
      <c r="D18" s="33"/>
      <c r="E18" s="33"/>
      <c r="F18" s="33"/>
      <c r="G18" s="33"/>
    </row>
    <row r="19" spans="3:7" ht="16.5" customHeight="1" x14ac:dyDescent="0.3">
      <c r="C19" s="6" t="s">
        <v>64</v>
      </c>
      <c r="D19" s="9" t="s">
        <v>65</v>
      </c>
      <c r="E19" s="13">
        <f>'Cap Allowances'!E43</f>
        <v>0</v>
      </c>
      <c r="F19" s="13">
        <f>'Cap Allowances'!F43</f>
        <v>0</v>
      </c>
      <c r="G19" s="13">
        <f>'Cap Allowances'!G43</f>
        <v>0</v>
      </c>
    </row>
    <row r="20" spans="3:7" ht="16.5" customHeight="1" x14ac:dyDescent="0.3">
      <c r="C20" s="6" t="s">
        <v>66</v>
      </c>
      <c r="D20" s="9" t="s">
        <v>67</v>
      </c>
      <c r="E20" s="13">
        <f>'Cap Allowances'!E62</f>
        <v>0</v>
      </c>
      <c r="F20" s="13">
        <f>'Cap Allowances'!F62</f>
        <v>0</v>
      </c>
      <c r="G20" s="13">
        <f>'Cap Allowances'!G62</f>
        <v>0</v>
      </c>
    </row>
    <row r="21" spans="3:7" ht="16.5" customHeight="1" x14ac:dyDescent="0.3">
      <c r="C21" s="8" t="s">
        <v>68</v>
      </c>
      <c r="D21" s="9" t="s">
        <v>69</v>
      </c>
      <c r="E21" s="10"/>
      <c r="F21" s="10"/>
      <c r="G21" s="10"/>
    </row>
    <row r="22" spans="3:7" ht="16.5" customHeight="1" x14ac:dyDescent="0.3">
      <c r="C22" s="8" t="s">
        <v>70</v>
      </c>
      <c r="D22" s="9" t="s">
        <v>71</v>
      </c>
      <c r="E22" s="10"/>
      <c r="F22" s="10"/>
      <c r="G22" s="10"/>
    </row>
    <row r="23" spans="3:7" ht="16.5" customHeight="1" x14ac:dyDescent="0.3">
      <c r="C23" s="8" t="s">
        <v>72</v>
      </c>
      <c r="D23" s="9" t="s">
        <v>73</v>
      </c>
      <c r="E23" s="10"/>
      <c r="F23" s="10"/>
      <c r="G23" s="10"/>
    </row>
    <row r="24" spans="3:7" ht="16.5" customHeight="1" x14ac:dyDescent="0.3">
      <c r="C24" s="8" t="s">
        <v>74</v>
      </c>
      <c r="D24" s="9" t="s">
        <v>75</v>
      </c>
      <c r="E24" s="10"/>
      <c r="F24" s="10"/>
      <c r="G24" s="10"/>
    </row>
    <row r="25" spans="3:7" ht="16.5" customHeight="1" x14ac:dyDescent="0.3">
      <c r="C25" s="11" t="s">
        <v>76</v>
      </c>
      <c r="D25" s="9"/>
      <c r="E25" s="12">
        <f>SUM(E19:E24)</f>
        <v>0</v>
      </c>
      <c r="F25" s="12">
        <f>SUM(F19:F24)</f>
        <v>0</v>
      </c>
      <c r="G25" s="12">
        <f>SUM(G19:G24)</f>
        <v>0</v>
      </c>
    </row>
    <row r="26" spans="3:7" ht="16.5" customHeight="1" x14ac:dyDescent="0.3">
      <c r="C26" s="33" t="s">
        <v>77</v>
      </c>
      <c r="D26" s="33"/>
      <c r="E26" s="33"/>
      <c r="F26" s="33"/>
      <c r="G26" s="33"/>
    </row>
    <row r="27" spans="3:7" ht="16.5" customHeight="1" x14ac:dyDescent="0.3">
      <c r="C27" s="8" t="s">
        <v>78</v>
      </c>
      <c r="D27" s="9" t="s">
        <v>79</v>
      </c>
      <c r="E27" s="10"/>
      <c r="F27" s="10"/>
      <c r="G27" s="10"/>
    </row>
    <row r="28" spans="3:7" ht="16.5" customHeight="1" x14ac:dyDescent="0.3">
      <c r="C28" s="8" t="s">
        <v>80</v>
      </c>
      <c r="D28" s="9" t="s">
        <v>81</v>
      </c>
      <c r="E28" s="10"/>
      <c r="F28" s="10"/>
      <c r="G28" s="10"/>
    </row>
    <row r="29" spans="3:7" ht="16.5" customHeight="1" x14ac:dyDescent="0.3">
      <c r="C29" s="8" t="s">
        <v>82</v>
      </c>
      <c r="D29" s="9" t="s">
        <v>83</v>
      </c>
      <c r="E29" s="10"/>
      <c r="F29" s="10"/>
      <c r="G29" s="10"/>
    </row>
    <row r="30" spans="3:7" ht="16.5" customHeight="1" x14ac:dyDescent="0.3">
      <c r="C30" s="11" t="s">
        <v>84</v>
      </c>
      <c r="D30" s="9"/>
      <c r="E30" s="12">
        <f>SUM(E27:E29)</f>
        <v>0</v>
      </c>
      <c r="F30" s="12">
        <f>SUM(F27:F29)</f>
        <v>0</v>
      </c>
      <c r="G30" s="12">
        <f>SUM(G27:G29)</f>
        <v>0</v>
      </c>
    </row>
    <row r="31" spans="3:7" ht="16.5" customHeight="1" x14ac:dyDescent="0.3">
      <c r="C31" s="33" t="s">
        <v>85</v>
      </c>
      <c r="D31" s="33"/>
      <c r="E31" s="33"/>
      <c r="F31" s="33"/>
      <c r="G31" s="33"/>
    </row>
    <row r="32" spans="3:7" ht="18" customHeight="1" x14ac:dyDescent="0.3">
      <c r="C32" s="11" t="s">
        <v>86</v>
      </c>
      <c r="D32" s="9"/>
      <c r="E32" s="12">
        <f>E7+E17-E25-E30</f>
        <v>0</v>
      </c>
      <c r="F32" s="12">
        <f>F7+F17-F25-F30</f>
        <v>0</v>
      </c>
      <c r="G32" s="12">
        <f>G7+G17-G25-G30</f>
        <v>-2211</v>
      </c>
    </row>
    <row r="33" spans="3:7" ht="16.5" customHeight="1" x14ac:dyDescent="0.3">
      <c r="C33" s="8" t="s">
        <v>87</v>
      </c>
      <c r="D33" s="9" t="s">
        <v>88</v>
      </c>
      <c r="E33" s="10"/>
      <c r="F33" s="10"/>
      <c r="G33" s="10"/>
    </row>
    <row r="34" spans="3:7" ht="19.5" customHeight="1" x14ac:dyDescent="0.3">
      <c r="C34" s="11" t="s">
        <v>89</v>
      </c>
      <c r="D34" s="9"/>
      <c r="E34" s="12">
        <f>MAX(E32-E33,0)</f>
        <v>0</v>
      </c>
      <c r="F34" s="12">
        <f>MAX(F32-F33,0)</f>
        <v>0</v>
      </c>
      <c r="G34" s="12">
        <f>MAX(G32-G33,0)</f>
        <v>0</v>
      </c>
    </row>
    <row r="35" spans="3:7" ht="16.5" customHeight="1" x14ac:dyDescent="0.3">
      <c r="C35" s="6" t="s">
        <v>90</v>
      </c>
      <c r="D35" s="9"/>
      <c r="E35" s="13">
        <f>IF(E32-E33&lt;0,ABS(E32-E33),0)</f>
        <v>0</v>
      </c>
      <c r="F35" s="13">
        <f>IF(F32-F33&lt;0,ABS(F32-F33),0)</f>
        <v>0</v>
      </c>
      <c r="G35" s="13">
        <f>IF(G32-G33&lt;0,ABS(G32-G33),0)</f>
        <v>2211</v>
      </c>
    </row>
    <row r="36" spans="3:7" ht="16.5" customHeight="1" x14ac:dyDescent="0.3">
      <c r="C36" s="33" t="s">
        <v>91</v>
      </c>
      <c r="D36" s="33"/>
      <c r="E36" s="33"/>
      <c r="F36" s="33"/>
      <c r="G36" s="33"/>
    </row>
    <row r="37" spans="3:7" ht="16.5" customHeight="1" x14ac:dyDescent="0.3">
      <c r="C37" s="8" t="s">
        <v>92</v>
      </c>
      <c r="D37" s="9" t="s">
        <v>93</v>
      </c>
      <c r="E37" s="14">
        <v>0.25</v>
      </c>
      <c r="F37" s="14">
        <v>0.25</v>
      </c>
      <c r="G37" s="14">
        <v>0.25</v>
      </c>
    </row>
    <row r="38" spans="3:7" ht="16.5" customHeight="1" x14ac:dyDescent="0.3">
      <c r="C38" s="11" t="s">
        <v>94</v>
      </c>
      <c r="D38" s="9"/>
      <c r="E38" s="12">
        <f>E34*E37</f>
        <v>0</v>
      </c>
      <c r="F38" s="12">
        <f>F34*F37</f>
        <v>0</v>
      </c>
      <c r="G38" s="12">
        <f>G34*G37</f>
        <v>0</v>
      </c>
    </row>
    <row r="39" spans="3:7" ht="16.5" customHeight="1" x14ac:dyDescent="0.3">
      <c r="C39" s="6" t="s">
        <v>95</v>
      </c>
      <c r="D39" s="9"/>
      <c r="E39" s="13">
        <f>E38*0.03</f>
        <v>0</v>
      </c>
      <c r="F39" s="13">
        <f>F38*0.03</f>
        <v>0</v>
      </c>
      <c r="G39" s="13">
        <f>G38*0.03</f>
        <v>0</v>
      </c>
    </row>
    <row r="40" spans="3:7" ht="19.5" customHeight="1" x14ac:dyDescent="0.3">
      <c r="C40" s="11" t="s">
        <v>96</v>
      </c>
      <c r="D40" s="9"/>
      <c r="E40" s="12">
        <f>E38+E39</f>
        <v>0</v>
      </c>
      <c r="F40" s="12">
        <f>F38+F39</f>
        <v>0</v>
      </c>
      <c r="G40" s="12">
        <f>G38+G39</f>
        <v>0</v>
      </c>
    </row>
    <row r="41" spans="3:7" ht="16.5" customHeight="1" x14ac:dyDescent="0.3">
      <c r="C41" s="33" t="s">
        <v>97</v>
      </c>
      <c r="D41" s="33"/>
      <c r="E41" s="33"/>
      <c r="F41" s="33"/>
      <c r="G41" s="33"/>
    </row>
    <row r="42" spans="3:7" ht="15.75" customHeight="1" x14ac:dyDescent="0.3">
      <c r="C42" s="37" t="s">
        <v>98</v>
      </c>
      <c r="D42" s="37"/>
      <c r="E42" s="37"/>
      <c r="F42" s="37"/>
      <c r="G42" s="37"/>
    </row>
    <row r="43" spans="3:7" ht="16.5" customHeight="1" x14ac:dyDescent="0.3">
      <c r="C43" s="6" t="s">
        <v>99</v>
      </c>
      <c r="D43" s="9" t="s">
        <v>100</v>
      </c>
      <c r="E43" s="13"/>
      <c r="F43" s="13"/>
      <c r="G43" s="13">
        <f>G5</f>
        <v>-9580</v>
      </c>
    </row>
    <row r="44" spans="3:7" ht="16.5" customHeight="1" x14ac:dyDescent="0.3">
      <c r="C44" s="6" t="s">
        <v>101</v>
      </c>
      <c r="D44" s="9" t="s">
        <v>102</v>
      </c>
      <c r="E44" s="15">
        <f>IFERROR(E5/G43,0)</f>
        <v>0</v>
      </c>
      <c r="F44" s="13"/>
      <c r="G44" s="13"/>
    </row>
    <row r="45" spans="3:7" ht="16.5" customHeight="1" x14ac:dyDescent="0.3">
      <c r="C45" s="6" t="s">
        <v>103</v>
      </c>
      <c r="D45" s="9" t="s">
        <v>104</v>
      </c>
      <c r="E45" s="16" t="str">
        <f>IF(E44&gt;0.5,"YES — apply 50/50 split","NO — tax in currency earned")</f>
        <v>NO — tax in currency earned</v>
      </c>
      <c r="F45" s="13"/>
      <c r="G45" s="13"/>
    </row>
  </sheetData>
  <mergeCells count="9">
    <mergeCell ref="C31:G31"/>
    <mergeCell ref="C36:G36"/>
    <mergeCell ref="C41:G41"/>
    <mergeCell ref="C42:G42"/>
    <mergeCell ref="C2:G2"/>
    <mergeCell ref="C4:G4"/>
    <mergeCell ref="C8:G8"/>
    <mergeCell ref="C18:G18"/>
    <mergeCell ref="C26:G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G62"/>
  <sheetViews>
    <sheetView showGridLines="0" zoomScaleNormal="100" workbookViewId="0">
      <selection activeCell="C5" sqref="C5:C9"/>
    </sheetView>
  </sheetViews>
  <sheetFormatPr defaultColWidth="8.6640625" defaultRowHeight="14.4" x14ac:dyDescent="0.3"/>
  <cols>
    <col min="1" max="1" width="4" customWidth="1"/>
    <col min="2" max="2" width="5" customWidth="1"/>
    <col min="3" max="3" width="34" customWidth="1"/>
    <col min="4" max="4" width="18" customWidth="1"/>
    <col min="5" max="7" width="20" customWidth="1"/>
  </cols>
  <sheetData>
    <row r="2" spans="3:7" ht="15.6" x14ac:dyDescent="0.3">
      <c r="C2" s="31" t="s">
        <v>105</v>
      </c>
      <c r="D2" s="31"/>
      <c r="E2" s="31"/>
      <c r="F2" s="31"/>
      <c r="G2" s="31"/>
    </row>
    <row r="3" spans="3:7" x14ac:dyDescent="0.3">
      <c r="C3" s="7" t="s">
        <v>106</v>
      </c>
      <c r="D3" s="7" t="s">
        <v>107</v>
      </c>
      <c r="E3" s="7" t="s">
        <v>108</v>
      </c>
      <c r="F3" s="7" t="s">
        <v>109</v>
      </c>
      <c r="G3" s="7" t="s">
        <v>110</v>
      </c>
    </row>
    <row r="4" spans="3:7" x14ac:dyDescent="0.3">
      <c r="C4" s="39" t="s">
        <v>111</v>
      </c>
      <c r="D4" s="39"/>
      <c r="E4" s="39"/>
      <c r="F4" s="39"/>
      <c r="G4" s="39"/>
    </row>
    <row r="5" spans="3:7" ht="16.5" customHeight="1" x14ac:dyDescent="0.3">
      <c r="C5" s="6" t="s">
        <v>112</v>
      </c>
      <c r="D5" s="10"/>
      <c r="E5" s="17">
        <f>D5*0.5</f>
        <v>0</v>
      </c>
      <c r="F5" s="10">
        <v>0</v>
      </c>
      <c r="G5" s="18">
        <f>E5+F5</f>
        <v>0</v>
      </c>
    </row>
    <row r="6" spans="3:7" ht="16.5" customHeight="1" x14ac:dyDescent="0.3">
      <c r="C6" s="6" t="s">
        <v>113</v>
      </c>
      <c r="D6" s="10"/>
      <c r="E6" s="17">
        <f>D6*0.5</f>
        <v>0</v>
      </c>
      <c r="F6" s="10">
        <v>0</v>
      </c>
      <c r="G6" s="18">
        <f>E6+F6</f>
        <v>0</v>
      </c>
    </row>
    <row r="7" spans="3:7" ht="16.5" customHeight="1" x14ac:dyDescent="0.3">
      <c r="C7" s="6" t="s">
        <v>114</v>
      </c>
      <c r="D7" s="10"/>
      <c r="E7" s="17">
        <f>D7*0.5</f>
        <v>0</v>
      </c>
      <c r="F7" s="10">
        <v>0</v>
      </c>
      <c r="G7" s="18">
        <f>E7+F7</f>
        <v>0</v>
      </c>
    </row>
    <row r="8" spans="3:7" ht="16.5" customHeight="1" x14ac:dyDescent="0.3">
      <c r="C8" s="6" t="s">
        <v>115</v>
      </c>
      <c r="D8" s="10"/>
      <c r="E8" s="17">
        <f>D8*0.5</f>
        <v>0</v>
      </c>
      <c r="F8" s="10">
        <v>0</v>
      </c>
      <c r="G8" s="18">
        <f>E8+F8</f>
        <v>0</v>
      </c>
    </row>
    <row r="9" spans="3:7" ht="16.5" customHeight="1" x14ac:dyDescent="0.3">
      <c r="C9" s="6" t="s">
        <v>116</v>
      </c>
      <c r="D9" s="10"/>
      <c r="E9" s="17">
        <f>D9*0.5</f>
        <v>0</v>
      </c>
      <c r="F9" s="10">
        <v>0</v>
      </c>
      <c r="G9" s="18">
        <f>E9+F9</f>
        <v>0</v>
      </c>
    </row>
    <row r="10" spans="3:7" ht="16.5" customHeight="1" x14ac:dyDescent="0.3">
      <c r="C10" s="19" t="s">
        <v>117</v>
      </c>
      <c r="E10" s="20">
        <f>SUM(E5:E9)</f>
        <v>0</v>
      </c>
      <c r="F10" s="20">
        <f>SUM(F5:F9)</f>
        <v>0</v>
      </c>
      <c r="G10" s="20">
        <f>SUM(G5:G9)</f>
        <v>0</v>
      </c>
    </row>
    <row r="43" spans="3:7" x14ac:dyDescent="0.3">
      <c r="C43" s="21" t="s">
        <v>118</v>
      </c>
      <c r="E43" s="22">
        <f>E10</f>
        <v>0</v>
      </c>
      <c r="F43" s="22">
        <f>F10</f>
        <v>0</v>
      </c>
      <c r="G43" s="22">
        <f>G10</f>
        <v>0</v>
      </c>
    </row>
    <row r="62" spans="3:7" x14ac:dyDescent="0.3">
      <c r="C62" s="21" t="s">
        <v>119</v>
      </c>
      <c r="E62" s="22">
        <v>0</v>
      </c>
      <c r="F62" s="22">
        <v>0</v>
      </c>
      <c r="G62" s="22">
        <f>E62+F62</f>
        <v>0</v>
      </c>
    </row>
  </sheetData>
  <mergeCells count="2">
    <mergeCell ref="C2:G2"/>
    <mergeCell ref="C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H11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5" customWidth="1"/>
    <col min="3" max="3" width="39.33203125" customWidth="1"/>
    <col min="4" max="7" width="16" customWidth="1"/>
    <col min="8" max="8" width="20" customWidth="1"/>
  </cols>
  <sheetData>
    <row r="2" spans="3:8" ht="15.6" x14ac:dyDescent="0.3">
      <c r="C2" s="31" t="s">
        <v>120</v>
      </c>
      <c r="D2" s="31"/>
      <c r="E2" s="31"/>
      <c r="F2" s="31"/>
      <c r="G2" s="31"/>
      <c r="H2" s="31"/>
    </row>
    <row r="3" spans="3:8" x14ac:dyDescent="0.3">
      <c r="C3" s="7" t="s">
        <v>121</v>
      </c>
      <c r="D3" s="7" t="s">
        <v>122</v>
      </c>
      <c r="E3" s="7" t="s">
        <v>123</v>
      </c>
      <c r="F3" s="7" t="s">
        <v>124</v>
      </c>
      <c r="G3" s="7" t="s">
        <v>125</v>
      </c>
      <c r="H3" s="7" t="s">
        <v>126</v>
      </c>
    </row>
    <row r="4" spans="3:8" ht="18" customHeight="1" x14ac:dyDescent="0.3">
      <c r="C4" s="1" t="s">
        <v>127</v>
      </c>
      <c r="D4" s="23" t="s">
        <v>128</v>
      </c>
      <c r="E4" s="10"/>
      <c r="F4" s="10"/>
      <c r="G4" s="24"/>
      <c r="H4" s="24"/>
    </row>
    <row r="5" spans="3:8" ht="18" customHeight="1" x14ac:dyDescent="0.3">
      <c r="C5" s="1" t="s">
        <v>129</v>
      </c>
      <c r="D5" s="23" t="s">
        <v>130</v>
      </c>
      <c r="E5" s="10"/>
      <c r="F5" s="10"/>
      <c r="G5" s="24"/>
      <c r="H5" s="24"/>
    </row>
    <row r="6" spans="3:8" ht="18" customHeight="1" x14ac:dyDescent="0.3">
      <c r="C6" s="1" t="s">
        <v>131</v>
      </c>
      <c r="D6" s="23" t="s">
        <v>132</v>
      </c>
      <c r="E6" s="10"/>
      <c r="F6" s="10"/>
      <c r="G6" s="24"/>
      <c r="H6" s="24"/>
    </row>
    <row r="7" spans="3:8" ht="18" customHeight="1" x14ac:dyDescent="0.3">
      <c r="C7" s="1" t="s">
        <v>133</v>
      </c>
      <c r="D7" s="23" t="s">
        <v>134</v>
      </c>
      <c r="E7" s="10"/>
      <c r="F7" s="10"/>
      <c r="G7" s="24"/>
      <c r="H7" s="24"/>
    </row>
    <row r="8" spans="3:8" ht="18" customHeight="1" x14ac:dyDescent="0.3">
      <c r="C8" s="11" t="s">
        <v>135</v>
      </c>
      <c r="E8" s="20">
        <f>SUM(E4:E7)</f>
        <v>0</v>
      </c>
      <c r="F8" s="20">
        <f>SUM(F4:F7)</f>
        <v>0</v>
      </c>
    </row>
    <row r="9" spans="3:8" ht="9.75" customHeight="1" x14ac:dyDescent="0.3"/>
    <row r="10" spans="3:8" ht="18" customHeight="1" x14ac:dyDescent="0.3">
      <c r="C10" s="1" t="s">
        <v>136</v>
      </c>
      <c r="E10" s="25">
        <f>'Tax Computation'!E40</f>
        <v>0</v>
      </c>
      <c r="F10" s="25">
        <f>'Tax Computation'!F40</f>
        <v>0</v>
      </c>
    </row>
    <row r="11" spans="3:8" ht="18" customHeight="1" x14ac:dyDescent="0.3">
      <c r="C11" s="11" t="s">
        <v>137</v>
      </c>
      <c r="E11" s="26">
        <f>E10-E8</f>
        <v>0</v>
      </c>
      <c r="F11" s="26">
        <f>F10-F8</f>
        <v>0</v>
      </c>
    </row>
  </sheetData>
  <mergeCells count="1">
    <mergeCell ref="C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G10"/>
  <sheetViews>
    <sheetView showGridLines="0" zoomScaleNormal="100" workbookViewId="0">
      <selection activeCell="F5" sqref="F5"/>
    </sheetView>
  </sheetViews>
  <sheetFormatPr defaultColWidth="8.6640625" defaultRowHeight="14.4" x14ac:dyDescent="0.3"/>
  <cols>
    <col min="1" max="1" width="4" customWidth="1"/>
    <col min="2" max="2" width="5" customWidth="1"/>
    <col min="3" max="3" width="28" customWidth="1"/>
    <col min="4" max="6" width="16" customWidth="1"/>
    <col min="7" max="7" width="18" customWidth="1"/>
  </cols>
  <sheetData>
    <row r="2" spans="3:7" ht="15.6" x14ac:dyDescent="0.3">
      <c r="C2" s="31" t="s">
        <v>138</v>
      </c>
      <c r="D2" s="31"/>
      <c r="E2" s="31"/>
      <c r="F2" s="31"/>
      <c r="G2" s="31"/>
    </row>
    <row r="3" spans="3:7" x14ac:dyDescent="0.3">
      <c r="C3" s="7" t="s">
        <v>139</v>
      </c>
      <c r="D3" s="7" t="s">
        <v>140</v>
      </c>
      <c r="E3" s="7" t="s">
        <v>141</v>
      </c>
      <c r="F3" s="7" t="s">
        <v>142</v>
      </c>
      <c r="G3" s="7" t="s">
        <v>143</v>
      </c>
    </row>
    <row r="4" spans="3:7" ht="18" customHeight="1" x14ac:dyDescent="0.3">
      <c r="C4" s="27" t="s">
        <v>144</v>
      </c>
      <c r="D4" s="23" t="s">
        <v>145</v>
      </c>
      <c r="E4" s="10"/>
      <c r="F4" s="10"/>
      <c r="G4" s="28"/>
    </row>
    <row r="5" spans="3:7" ht="18" customHeight="1" x14ac:dyDescent="0.3">
      <c r="C5" s="27" t="s">
        <v>146</v>
      </c>
      <c r="D5" s="23" t="s">
        <v>145</v>
      </c>
      <c r="E5" s="10"/>
      <c r="F5" s="10"/>
      <c r="G5" s="28"/>
    </row>
    <row r="6" spans="3:7" ht="18" customHeight="1" x14ac:dyDescent="0.3">
      <c r="C6" s="27" t="s">
        <v>147</v>
      </c>
      <c r="D6" s="23" t="s">
        <v>148</v>
      </c>
      <c r="E6" s="10"/>
      <c r="F6" s="10"/>
      <c r="G6" s="28"/>
    </row>
    <row r="7" spans="3:7" ht="18" customHeight="1" x14ac:dyDescent="0.3">
      <c r="C7" s="27" t="s">
        <v>149</v>
      </c>
      <c r="D7" s="23" t="s">
        <v>148</v>
      </c>
      <c r="E7" s="10"/>
      <c r="F7" s="10"/>
      <c r="G7" s="28"/>
    </row>
    <row r="8" spans="3:7" ht="18" customHeight="1" x14ac:dyDescent="0.3">
      <c r="C8" s="27" t="s">
        <v>150</v>
      </c>
      <c r="D8" s="23" t="s">
        <v>145</v>
      </c>
      <c r="E8" s="10"/>
      <c r="F8" s="10"/>
      <c r="G8" s="28"/>
    </row>
    <row r="9" spans="3:7" ht="18" customHeight="1" x14ac:dyDescent="0.3">
      <c r="C9" s="27" t="s">
        <v>151</v>
      </c>
      <c r="D9" s="23"/>
      <c r="E9" s="10"/>
      <c r="F9" s="10"/>
      <c r="G9" s="28"/>
    </row>
    <row r="10" spans="3:7" ht="18" customHeight="1" x14ac:dyDescent="0.3">
      <c r="C10" s="11" t="s">
        <v>152</v>
      </c>
      <c r="F10" s="20">
        <f>SUM(F4:F9)</f>
        <v>0</v>
      </c>
    </row>
  </sheetData>
  <mergeCells count="1">
    <mergeCell ref="C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25"/>
  <sheetViews>
    <sheetView showGridLines="0" zoomScaleNormal="100" workbookViewId="0">
      <selection activeCell="D12" sqref="D12"/>
    </sheetView>
  </sheetViews>
  <sheetFormatPr defaultColWidth="8.6640625" defaultRowHeight="14.4" x14ac:dyDescent="0.3"/>
  <cols>
    <col min="1" max="1" width="4" customWidth="1"/>
    <col min="2" max="2" width="5" customWidth="1"/>
    <col min="3" max="3" width="40" customWidth="1"/>
    <col min="4" max="5" width="20" customWidth="1"/>
  </cols>
  <sheetData>
    <row r="2" spans="3:5" ht="16.8" x14ac:dyDescent="0.3">
      <c r="C2" s="38" t="s">
        <v>153</v>
      </c>
      <c r="D2" s="38"/>
      <c r="E2" s="38"/>
    </row>
    <row r="3" spans="3:5" x14ac:dyDescent="0.3">
      <c r="C3" s="7" t="s">
        <v>154</v>
      </c>
      <c r="D3" s="7" t="s">
        <v>36</v>
      </c>
      <c r="E3" s="7" t="s">
        <v>37</v>
      </c>
    </row>
    <row r="4" spans="3:5" ht="18" customHeight="1" x14ac:dyDescent="0.3">
      <c r="C4" s="27" t="s">
        <v>155</v>
      </c>
      <c r="D4" s="29">
        <f>'Tax Computation'!E7</f>
        <v>0</v>
      </c>
      <c r="E4" s="29">
        <f>'Tax Computation'!F7</f>
        <v>0</v>
      </c>
    </row>
    <row r="5" spans="3:5" ht="18" customHeight="1" x14ac:dyDescent="0.3">
      <c r="C5" s="6" t="s">
        <v>156</v>
      </c>
      <c r="D5" s="30">
        <f>'Tax Computation'!E17</f>
        <v>0</v>
      </c>
      <c r="E5" s="30">
        <f>'Tax Computation'!F17</f>
        <v>0</v>
      </c>
    </row>
    <row r="6" spans="3:5" ht="18" customHeight="1" x14ac:dyDescent="0.3">
      <c r="C6" s="27" t="s">
        <v>157</v>
      </c>
      <c r="D6" s="29">
        <f>'Tax Computation'!E25</f>
        <v>0</v>
      </c>
      <c r="E6" s="29">
        <f>'Tax Computation'!F25</f>
        <v>0</v>
      </c>
    </row>
    <row r="7" spans="3:5" ht="18" customHeight="1" x14ac:dyDescent="0.3">
      <c r="C7" s="6" t="s">
        <v>158</v>
      </c>
      <c r="D7" s="30">
        <f>'Tax Computation'!E30</f>
        <v>0</v>
      </c>
      <c r="E7" s="30">
        <f>'Tax Computation'!F30</f>
        <v>0</v>
      </c>
    </row>
    <row r="8" spans="3:5" ht="18" customHeight="1" x14ac:dyDescent="0.3">
      <c r="C8" s="27" t="s">
        <v>159</v>
      </c>
      <c r="D8" s="29">
        <f>'Tax Computation'!E34</f>
        <v>0</v>
      </c>
      <c r="E8" s="29">
        <f>'Tax Computation'!F34</f>
        <v>0</v>
      </c>
    </row>
    <row r="9" spans="3:5" ht="18" customHeight="1" x14ac:dyDescent="0.3">
      <c r="C9" s="6" t="s">
        <v>160</v>
      </c>
      <c r="D9" s="30">
        <f>'Tax Computation'!E38</f>
        <v>0</v>
      </c>
      <c r="E9" s="30">
        <f>'Tax Computation'!F38</f>
        <v>0</v>
      </c>
    </row>
    <row r="10" spans="3:5" ht="18" customHeight="1" x14ac:dyDescent="0.3">
      <c r="C10" s="27" t="s">
        <v>161</v>
      </c>
      <c r="D10" s="29">
        <f>'Tax Computation'!E39</f>
        <v>0</v>
      </c>
      <c r="E10" s="29">
        <f>'Tax Computation'!F39</f>
        <v>0</v>
      </c>
    </row>
    <row r="11" spans="3:5" ht="18" customHeight="1" x14ac:dyDescent="0.3">
      <c r="C11" s="6" t="s">
        <v>162</v>
      </c>
      <c r="D11" s="30">
        <f>'Tax Computation'!E40</f>
        <v>0</v>
      </c>
      <c r="E11" s="30">
        <f>'Tax Computation'!F40</f>
        <v>0</v>
      </c>
    </row>
    <row r="12" spans="3:5" ht="18" customHeight="1" x14ac:dyDescent="0.3">
      <c r="C12" s="27" t="s">
        <v>163</v>
      </c>
      <c r="D12" s="29">
        <f>'QPD Recon'!E8</f>
        <v>0</v>
      </c>
      <c r="E12" s="29">
        <f>'QPD Recon'!F8</f>
        <v>0</v>
      </c>
    </row>
    <row r="13" spans="3:5" ht="18" customHeight="1" x14ac:dyDescent="0.3">
      <c r="C13" s="6" t="s">
        <v>164</v>
      </c>
      <c r="D13" s="30">
        <f>'WHT Credits'!F10</f>
        <v>0</v>
      </c>
      <c r="E13" s="30">
        <v>0</v>
      </c>
    </row>
    <row r="14" spans="3:5" ht="18" customHeight="1" x14ac:dyDescent="0.3">
      <c r="C14" s="11" t="s">
        <v>165</v>
      </c>
      <c r="D14" s="26">
        <f>'QPD Recon'!E11</f>
        <v>0</v>
      </c>
      <c r="E14" s="26">
        <f>'QPD Recon'!F11</f>
        <v>0</v>
      </c>
    </row>
    <row r="16" spans="3:5" ht="9.75" customHeight="1" x14ac:dyDescent="0.3"/>
    <row r="17" spans="1:5" x14ac:dyDescent="0.3">
      <c r="A17" s="33" t="s">
        <v>166</v>
      </c>
      <c r="B17" s="33"/>
      <c r="C17" s="33"/>
    </row>
    <row r="18" spans="1:5" ht="16.5" customHeight="1" x14ac:dyDescent="0.3">
      <c r="C18" s="41" t="s">
        <v>167</v>
      </c>
      <c r="D18" s="41"/>
      <c r="E18" s="41"/>
    </row>
    <row r="19" spans="1:5" ht="16.5" customHeight="1" x14ac:dyDescent="0.3">
      <c r="C19" s="41" t="s">
        <v>168</v>
      </c>
      <c r="D19" s="41"/>
      <c r="E19" s="41"/>
    </row>
    <row r="20" spans="1:5" ht="16.5" customHeight="1" x14ac:dyDescent="0.3">
      <c r="C20" s="40"/>
      <c r="D20" s="40"/>
      <c r="E20" s="40"/>
    </row>
    <row r="21" spans="1:5" ht="16.5" customHeight="1" x14ac:dyDescent="0.3">
      <c r="C21" s="40" t="s">
        <v>169</v>
      </c>
      <c r="D21" s="40"/>
      <c r="E21" s="40"/>
    </row>
    <row r="22" spans="1:5" ht="16.5" customHeight="1" x14ac:dyDescent="0.3">
      <c r="C22" s="40" t="s">
        <v>170</v>
      </c>
      <c r="D22" s="40"/>
      <c r="E22" s="40"/>
    </row>
    <row r="23" spans="1:5" ht="16.5" customHeight="1" x14ac:dyDescent="0.3">
      <c r="C23" s="40" t="s">
        <v>171</v>
      </c>
      <c r="D23" s="40"/>
      <c r="E23" s="40"/>
    </row>
    <row r="24" spans="1:5" ht="16.5" customHeight="1" x14ac:dyDescent="0.3">
      <c r="C24" s="40" t="s">
        <v>172</v>
      </c>
      <c r="D24" s="40"/>
      <c r="E24" s="40"/>
    </row>
    <row r="25" spans="1:5" ht="16.5" customHeight="1" x14ac:dyDescent="0.3">
      <c r="C25" s="40" t="s">
        <v>173</v>
      </c>
      <c r="D25" s="40"/>
      <c r="E25" s="40"/>
    </row>
  </sheetData>
  <mergeCells count="10">
    <mergeCell ref="C2:E2"/>
    <mergeCell ref="A17:C17"/>
    <mergeCell ref="C18:E18"/>
    <mergeCell ref="C19:E19"/>
    <mergeCell ref="C20:E20"/>
    <mergeCell ref="C21:E21"/>
    <mergeCell ref="C22:E22"/>
    <mergeCell ref="C23:E23"/>
    <mergeCell ref="C24:E24"/>
    <mergeCell ref="C25:E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Tax Computation</vt:lpstr>
      <vt:lpstr>Cap Allowances</vt:lpstr>
      <vt:lpstr>QPD Recon</vt:lpstr>
      <vt:lpstr>WHT Credits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wisdom muzambi</cp:lastModifiedBy>
  <cp:revision>0</cp:revision>
  <dcterms:created xsi:type="dcterms:W3CDTF">2026-03-11T14:08:40Z</dcterms:created>
  <dcterms:modified xsi:type="dcterms:W3CDTF">2026-03-12T06:18:54Z</dcterms:modified>
  <dc:language>en-US</dc:language>
</cp:coreProperties>
</file>