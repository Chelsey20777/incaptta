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e87fe75bd2534e/Desktop/Crystal Paints 2025 Income Tax/"/>
    </mc:Choice>
  </mc:AlternateContent>
  <xr:revisionPtr revIDLastSave="70" documentId="8_{4B99CBB4-B68D-4EBF-BB1B-B2D40341D71E}" xr6:coauthVersionLast="47" xr6:coauthVersionMax="47" xr10:uidLastSave="{3A5042BC-ACA1-4D21-8482-960C219E6E80}"/>
  <bookViews>
    <workbookView xWindow="-108" yWindow="-108" windowWidth="23256" windowHeight="12456" xr2:uid="{458AFFD3-5A2F-44A7-9937-2F8A4AE350D4}"/>
  </bookViews>
  <sheets>
    <sheet name="Income Tax Calculator" sheetId="1" r:id="rId1"/>
    <sheet name="2025 Sales" sheetId="4" r:id="rId2"/>
    <sheet name="Operating Expenses 2025" sheetId="5" r:id="rId3"/>
    <sheet name="VAT Calculator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J10" i="1"/>
  <c r="K10" i="1"/>
  <c r="L10" i="1"/>
  <c r="M10" i="1"/>
  <c r="B10" i="1"/>
  <c r="Q20" i="1"/>
  <c r="Q21" i="1"/>
  <c r="Q22" i="1"/>
  <c r="Q23" i="1"/>
  <c r="Q24" i="1"/>
  <c r="Q25" i="1"/>
  <c r="Q26" i="1"/>
  <c r="Q27" i="1"/>
  <c r="Q29" i="1"/>
  <c r="Q30" i="1"/>
  <c r="Q32" i="1"/>
  <c r="Q33" i="1"/>
  <c r="Q34" i="1"/>
  <c r="P20" i="1"/>
  <c r="P21" i="1"/>
  <c r="P22" i="1"/>
  <c r="P23" i="1"/>
  <c r="P24" i="1"/>
  <c r="P25" i="1"/>
  <c r="P26" i="1"/>
  <c r="P27" i="1"/>
  <c r="P28" i="1"/>
  <c r="P29" i="1"/>
  <c r="P30" i="1"/>
  <c r="P32" i="1"/>
  <c r="P33" i="1"/>
  <c r="P34" i="1"/>
  <c r="P36" i="1"/>
  <c r="N31" i="1"/>
  <c r="P31" i="1" s="1"/>
  <c r="C31" i="1"/>
  <c r="D31" i="1"/>
  <c r="E31" i="1"/>
  <c r="F31" i="1"/>
  <c r="G31" i="1"/>
  <c r="H31" i="1"/>
  <c r="I31" i="1"/>
  <c r="J31" i="1"/>
  <c r="K31" i="1"/>
  <c r="L31" i="1"/>
  <c r="M31" i="1"/>
  <c r="N28" i="1"/>
  <c r="C14" i="1"/>
  <c r="D14" i="1"/>
  <c r="E14" i="1"/>
  <c r="F14" i="1"/>
  <c r="G14" i="1"/>
  <c r="H14" i="1"/>
  <c r="I14" i="1"/>
  <c r="J14" i="1"/>
  <c r="K14" i="1"/>
  <c r="L14" i="1"/>
  <c r="M14" i="1"/>
  <c r="B14" i="1"/>
  <c r="C13" i="1"/>
  <c r="D13" i="1"/>
  <c r="E13" i="1"/>
  <c r="F13" i="1"/>
  <c r="G13" i="1"/>
  <c r="H13" i="1"/>
  <c r="I13" i="1"/>
  <c r="J13" i="1"/>
  <c r="K13" i="1"/>
  <c r="L13" i="1"/>
  <c r="M13" i="1"/>
  <c r="B13" i="1"/>
  <c r="C12" i="1"/>
  <c r="D12" i="1"/>
  <c r="E12" i="1"/>
  <c r="F12" i="1"/>
  <c r="G12" i="1"/>
  <c r="H12" i="1"/>
  <c r="I12" i="1"/>
  <c r="J12" i="1"/>
  <c r="K12" i="1"/>
  <c r="L12" i="1"/>
  <c r="M12" i="1"/>
  <c r="B12" i="1"/>
  <c r="N2" i="5"/>
  <c r="N3" i="5"/>
  <c r="N4" i="5"/>
  <c r="E3" i="4"/>
  <c r="E4" i="4"/>
  <c r="F4" i="4" s="1"/>
  <c r="E5" i="4"/>
  <c r="F5" i="4" s="1"/>
  <c r="E6" i="4"/>
  <c r="E7" i="4"/>
  <c r="E8" i="4"/>
  <c r="E9" i="4"/>
  <c r="E2" i="4"/>
  <c r="N5" i="5" l="1"/>
  <c r="F3" i="4"/>
  <c r="F2" i="4"/>
  <c r="F8" i="4"/>
  <c r="F9" i="4"/>
  <c r="F7" i="4"/>
  <c r="F6" i="4"/>
  <c r="E13" i="4"/>
  <c r="F13" i="4" s="1"/>
  <c r="E12" i="4"/>
  <c r="F12" i="4" s="1"/>
  <c r="E11" i="4"/>
  <c r="F11" i="4" s="1"/>
  <c r="E10" i="4"/>
  <c r="F10" i="4" s="1"/>
  <c r="D14" i="4"/>
  <c r="Q28" i="1" s="1"/>
  <c r="Q31" i="1" l="1"/>
  <c r="B5" i="1" a="1"/>
  <c r="B5" i="1" s="1"/>
  <c r="F14" i="4"/>
  <c r="E14" i="4"/>
  <c r="C14" i="4"/>
  <c r="B14" i="4"/>
  <c r="N14" i="1" l="1"/>
  <c r="N5" i="1"/>
  <c r="Q14" i="1" l="1"/>
  <c r="P14" i="1"/>
  <c r="Q5" i="1"/>
  <c r="P5" i="1"/>
  <c r="N13" i="1"/>
  <c r="N12" i="1"/>
  <c r="B15" i="1"/>
  <c r="D30" i="3"/>
  <c r="E30" i="3"/>
  <c r="F30" i="3"/>
  <c r="G30" i="3"/>
  <c r="H30" i="3"/>
  <c r="I30" i="3"/>
  <c r="J30" i="3"/>
  <c r="K30" i="3"/>
  <c r="L30" i="3"/>
  <c r="M30" i="3"/>
  <c r="N30" i="3"/>
  <c r="C30" i="3"/>
  <c r="C6" i="3"/>
  <c r="D28" i="3"/>
  <c r="F28" i="3"/>
  <c r="G28" i="3"/>
  <c r="H28" i="3"/>
  <c r="I28" i="3"/>
  <c r="J28" i="3"/>
  <c r="K28" i="3"/>
  <c r="L28" i="3"/>
  <c r="M28" i="3"/>
  <c r="B28" i="3"/>
  <c r="C25" i="3"/>
  <c r="D25" i="3"/>
  <c r="E25" i="3"/>
  <c r="F25" i="3"/>
  <c r="G25" i="3"/>
  <c r="H25" i="3"/>
  <c r="I25" i="3"/>
  <c r="J25" i="3"/>
  <c r="K25" i="3"/>
  <c r="L25" i="3"/>
  <c r="M25" i="3"/>
  <c r="N22" i="3"/>
  <c r="N21" i="3"/>
  <c r="C23" i="3"/>
  <c r="D23" i="3"/>
  <c r="E23" i="3"/>
  <c r="F23" i="3"/>
  <c r="G23" i="3"/>
  <c r="H23" i="3"/>
  <c r="I23" i="3"/>
  <c r="J23" i="3"/>
  <c r="K23" i="3"/>
  <c r="L23" i="3"/>
  <c r="M23" i="3"/>
  <c r="B23" i="3"/>
  <c r="B25" i="3" s="1"/>
  <c r="N17" i="3"/>
  <c r="N16" i="3"/>
  <c r="C18" i="3"/>
  <c r="D18" i="3"/>
  <c r="E18" i="3"/>
  <c r="F18" i="3"/>
  <c r="G18" i="3"/>
  <c r="H18" i="3"/>
  <c r="I18" i="3"/>
  <c r="J18" i="3"/>
  <c r="K18" i="3"/>
  <c r="L18" i="3"/>
  <c r="M18" i="3"/>
  <c r="B18" i="3"/>
  <c r="N5" i="3"/>
  <c r="N4" i="3"/>
  <c r="G10" i="3"/>
  <c r="H10" i="3"/>
  <c r="M10" i="3"/>
  <c r="C9" i="3"/>
  <c r="D9" i="3"/>
  <c r="D10" i="3" s="1"/>
  <c r="E9" i="3"/>
  <c r="E10" i="3" s="1"/>
  <c r="F9" i="3"/>
  <c r="G9" i="3"/>
  <c r="H9" i="3"/>
  <c r="I9" i="3"/>
  <c r="J9" i="3"/>
  <c r="K9" i="3"/>
  <c r="L9" i="3"/>
  <c r="L10" i="3" s="1"/>
  <c r="M9" i="3"/>
  <c r="C8" i="3"/>
  <c r="C10" i="3" s="1"/>
  <c r="D8" i="3"/>
  <c r="E8" i="3"/>
  <c r="F8" i="3"/>
  <c r="F10" i="3" s="1"/>
  <c r="F12" i="3" s="1"/>
  <c r="G8" i="3"/>
  <c r="H8" i="3"/>
  <c r="I8" i="3"/>
  <c r="I10" i="3" s="1"/>
  <c r="I12" i="3" s="1"/>
  <c r="J8" i="3"/>
  <c r="J10" i="3" s="1"/>
  <c r="J12" i="3" s="1"/>
  <c r="K8" i="3"/>
  <c r="K10" i="3" s="1"/>
  <c r="L8" i="3"/>
  <c r="M8" i="3"/>
  <c r="B9" i="3"/>
  <c r="B8" i="3"/>
  <c r="M6" i="3"/>
  <c r="M12" i="3" s="1"/>
  <c r="L6" i="3"/>
  <c r="K6" i="3"/>
  <c r="K12" i="3" s="1"/>
  <c r="J6" i="3"/>
  <c r="I6" i="3"/>
  <c r="H6" i="3"/>
  <c r="H12" i="3" s="1"/>
  <c r="G6" i="3"/>
  <c r="G12" i="3" s="1"/>
  <c r="F6" i="3"/>
  <c r="E6" i="3"/>
  <c r="D6" i="3"/>
  <c r="D12" i="3" s="1"/>
  <c r="B6" i="3"/>
  <c r="N18" i="1"/>
  <c r="N8" i="1"/>
  <c r="C15" i="1"/>
  <c r="D15" i="1"/>
  <c r="E15" i="1"/>
  <c r="F15" i="1"/>
  <c r="G15" i="1"/>
  <c r="H15" i="1"/>
  <c r="I15" i="1"/>
  <c r="J15" i="1"/>
  <c r="K15" i="1"/>
  <c r="L15" i="1"/>
  <c r="M15" i="1"/>
  <c r="C7" i="1"/>
  <c r="C9" i="1" s="1"/>
  <c r="D7" i="1"/>
  <c r="D9" i="1" s="1"/>
  <c r="E7" i="1"/>
  <c r="E9" i="1" s="1"/>
  <c r="F7" i="1"/>
  <c r="F9" i="1" s="1"/>
  <c r="G7" i="1"/>
  <c r="G9" i="1" s="1"/>
  <c r="H7" i="1"/>
  <c r="H9" i="1" s="1"/>
  <c r="I7" i="1"/>
  <c r="I9" i="1" s="1"/>
  <c r="J7" i="1"/>
  <c r="J9" i="1" s="1"/>
  <c r="K7" i="1"/>
  <c r="K9" i="1" s="1"/>
  <c r="L7" i="1"/>
  <c r="L9" i="1" s="1"/>
  <c r="M7" i="1"/>
  <c r="M9" i="1" s="1"/>
  <c r="B7" i="1"/>
  <c r="N15" i="1" l="1"/>
  <c r="Q18" i="1"/>
  <c r="P18" i="1"/>
  <c r="P13" i="1"/>
  <c r="Q13" i="1"/>
  <c r="P12" i="1"/>
  <c r="Q12" i="1"/>
  <c r="Q8" i="1"/>
  <c r="P8" i="1"/>
  <c r="F17" i="1"/>
  <c r="F19" i="1" s="1"/>
  <c r="M17" i="1"/>
  <c r="M19" i="1" s="1"/>
  <c r="E17" i="1"/>
  <c r="E19" i="1" s="1"/>
  <c r="H17" i="1"/>
  <c r="H19" i="1" s="1"/>
  <c r="G17" i="1"/>
  <c r="G19" i="1" s="1"/>
  <c r="D17" i="1"/>
  <c r="D19" i="1" s="1"/>
  <c r="K17" i="1"/>
  <c r="K19" i="1" s="1"/>
  <c r="C17" i="1"/>
  <c r="C19" i="1" s="1"/>
  <c r="J17" i="1"/>
  <c r="J19" i="1" s="1"/>
  <c r="I17" i="1"/>
  <c r="I19" i="1" s="1"/>
  <c r="L17" i="1"/>
  <c r="L19" i="1" s="1"/>
  <c r="N7" i="1"/>
  <c r="N8" i="3"/>
  <c r="B9" i="1"/>
  <c r="C12" i="3"/>
  <c r="C28" i="3" s="1"/>
  <c r="E12" i="3"/>
  <c r="E28" i="3" s="1"/>
  <c r="N23" i="3"/>
  <c r="N25" i="3" s="1"/>
  <c r="N18" i="3"/>
  <c r="L12" i="3"/>
  <c r="N6" i="3"/>
  <c r="B10" i="3"/>
  <c r="N9" i="3"/>
  <c r="H35" i="1" l="1"/>
  <c r="H37" i="1" s="1"/>
  <c r="H38" i="1" s="1"/>
  <c r="E35" i="1"/>
  <c r="E37" i="1" s="1"/>
  <c r="E38" i="1" s="1"/>
  <c r="M35" i="1"/>
  <c r="M37" i="1" s="1"/>
  <c r="M38" i="1" s="1"/>
  <c r="J35" i="1"/>
  <c r="J37" i="1" s="1"/>
  <c r="J38" i="1" s="1"/>
  <c r="F35" i="1"/>
  <c r="F37" i="1" s="1"/>
  <c r="F38" i="1" s="1"/>
  <c r="C35" i="1"/>
  <c r="C37" i="1" s="1"/>
  <c r="C38" i="1" s="1"/>
  <c r="L35" i="1"/>
  <c r="L37" i="1" s="1"/>
  <c r="L38" i="1" s="1"/>
  <c r="I35" i="1"/>
  <c r="I37" i="1" s="1"/>
  <c r="I38" i="1" s="1"/>
  <c r="K35" i="1"/>
  <c r="K37" i="1" s="1"/>
  <c r="K38" i="1" s="1"/>
  <c r="D35" i="1"/>
  <c r="D37" i="1" s="1"/>
  <c r="D38" i="1" s="1"/>
  <c r="G35" i="1"/>
  <c r="G37" i="1" s="1"/>
  <c r="G38" i="1" s="1"/>
  <c r="Q15" i="1"/>
  <c r="P15" i="1"/>
  <c r="N9" i="1"/>
  <c r="N17" i="1" s="1"/>
  <c r="N19" i="1" s="1"/>
  <c r="Q7" i="1"/>
  <c r="P7" i="1"/>
  <c r="B17" i="1"/>
  <c r="B19" i="1" s="1"/>
  <c r="B12" i="3"/>
  <c r="N12" i="3" s="1"/>
  <c r="N28" i="3" s="1"/>
  <c r="N10" i="3"/>
  <c r="B35" i="1" l="1"/>
  <c r="P17" i="1"/>
  <c r="Q17" i="1"/>
  <c r="N10" i="1"/>
  <c r="Q9" i="1"/>
  <c r="P9" i="1"/>
  <c r="N35" i="1" l="1"/>
  <c r="P35" i="1" s="1"/>
  <c r="B37" i="1"/>
  <c r="B38" i="1" s="1"/>
  <c r="Q19" i="1"/>
  <c r="P19" i="1"/>
  <c r="N37" i="1" l="1"/>
  <c r="Q37" i="1" s="1"/>
  <c r="Q35" i="1"/>
  <c r="N38" i="1" l="1"/>
  <c r="N39" i="1" s="1"/>
  <c r="N42" i="1" s="1"/>
  <c r="P37" i="1"/>
  <c r="N41" i="1" l="1"/>
  <c r="Q41" i="1" s="1"/>
  <c r="Q38" i="1"/>
  <c r="N43" i="1"/>
  <c r="P43" i="1" s="1"/>
  <c r="N44" i="1"/>
  <c r="Q44" i="1" s="1"/>
  <c r="P39" i="1"/>
  <c r="Q39" i="1"/>
  <c r="P38" i="1"/>
  <c r="P42" i="1"/>
  <c r="Q42" i="1"/>
  <c r="Q43" i="1" l="1"/>
  <c r="P44" i="1"/>
  <c r="P4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<sst xmlns="http://schemas.openxmlformats.org/spreadsheetml/2006/main" count="90" uniqueCount="79">
  <si>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</si>
  <si>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</si>
  <si>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</si>
  <si>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</si>
  <si>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</si>
  <si>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</si>
  <si>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</si>
  <si>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</si>
  <si>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</si>
  <si>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</si>
  <si>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</si>
  <si>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</si>
  <si>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Totals</t>
  </si>
  <si>
    <t>Revenue</t>
  </si>
  <si>
    <t xml:space="preserve">Cost of Sales </t>
  </si>
  <si>
    <t>Gross Profit</t>
  </si>
  <si>
    <t>Operating Expenses</t>
  </si>
  <si>
    <t>Turnover exc VAT (Local)</t>
  </si>
  <si>
    <t>Turnover exc VAT (Export)</t>
  </si>
  <si>
    <t>Total Revenue</t>
  </si>
  <si>
    <t>Utilities</t>
  </si>
  <si>
    <t>Total Employent Costs (Salaries)</t>
  </si>
  <si>
    <t>Other Expenses</t>
  </si>
  <si>
    <t xml:space="preserve">Total Expenses </t>
  </si>
  <si>
    <t>Net Profit before local Interest &amp; Tax</t>
  </si>
  <si>
    <t>Local Interest (Expense)</t>
  </si>
  <si>
    <t>Net Profit after Interest</t>
  </si>
  <si>
    <t>Tax 25%</t>
  </si>
  <si>
    <t>Gross Sales incl VAT (Local)</t>
  </si>
  <si>
    <t>Gross Sales incl VAT (Export)</t>
  </si>
  <si>
    <t>Gross Revenue</t>
  </si>
  <si>
    <t>Net Revenue (Reverse Calculation)</t>
  </si>
  <si>
    <t>Total Gross Revenue</t>
  </si>
  <si>
    <t>Total Net Revenue</t>
  </si>
  <si>
    <t xml:space="preserve">Output VAT </t>
  </si>
  <si>
    <t>Month</t>
  </si>
  <si>
    <t>Bills</t>
  </si>
  <si>
    <t>Bills Amount</t>
  </si>
  <si>
    <t xml:space="preserve">Bill of Entries </t>
  </si>
  <si>
    <t>VAT on Bills</t>
  </si>
  <si>
    <t>Bills VAT</t>
  </si>
  <si>
    <t>Bill of Entries VAT</t>
  </si>
  <si>
    <t xml:space="preserve">Total VAT </t>
  </si>
  <si>
    <t xml:space="preserve">Input VAT </t>
  </si>
  <si>
    <t>VAT Payable/Refundable</t>
  </si>
  <si>
    <t>VAT Calculator</t>
  </si>
  <si>
    <t>Return Submission (due 15th )</t>
  </si>
  <si>
    <t>AIDS Levy 3%</t>
  </si>
  <si>
    <t xml:space="preserve">Tax Payable </t>
  </si>
  <si>
    <t>GP Margin</t>
  </si>
  <si>
    <t>USD</t>
  </si>
  <si>
    <t>ZWG</t>
  </si>
  <si>
    <t>Exchange Rate</t>
  </si>
  <si>
    <t>Conversion</t>
  </si>
  <si>
    <t>Sales</t>
  </si>
  <si>
    <t>YTD 2025</t>
  </si>
  <si>
    <t>Total Sales</t>
  </si>
  <si>
    <t>Utilities &amp; Rentals</t>
  </si>
  <si>
    <t>Total Employment Costs</t>
  </si>
  <si>
    <t>Splitting 50%</t>
  </si>
  <si>
    <t>Forecast</t>
  </si>
  <si>
    <t>QPD 4 (due 15 Dec)</t>
  </si>
  <si>
    <t>Value of Opening Stock</t>
  </si>
  <si>
    <t>Value of Closing Stock</t>
  </si>
  <si>
    <t>Opening Value of Assets Excluding Stock</t>
  </si>
  <si>
    <t>Additional Assets Acquired - Local Excluding Stock</t>
  </si>
  <si>
    <t>Additional Assets Acquired - Imports Excluding Stock</t>
  </si>
  <si>
    <t>Closing Value of Assets excluding Stock</t>
  </si>
  <si>
    <t xml:space="preserve">Capital Employed </t>
  </si>
  <si>
    <t>less Deductions</t>
  </si>
  <si>
    <t>Capital Allowances</t>
  </si>
  <si>
    <t>Scrapping Allowances</t>
  </si>
  <si>
    <t>Non-Taxable Income</t>
  </si>
  <si>
    <t>Taxable Income/Loss</t>
  </si>
  <si>
    <t>Income Tax Calculator - Template 2025</t>
  </si>
  <si>
    <t>ITF12C</t>
  </si>
  <si>
    <t>QPD 1 (due 20 March)</t>
  </si>
  <si>
    <t>QPD 2 (due 20 June)</t>
  </si>
  <si>
    <t>QPD 3 (due 20 Sept)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</si>
</sst>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$-409]* #,##0_ ;_-[$$-409]* \-#,##0\ ;_-[$$-409]* &quot;-&quot;??_ ;_-@_ "/>
    <numFmt numFmtId="165" formatCode="_-[$$-409]* #,##0.00_ ;_-[$$-409]* \-#,##0.00\ ;_-[$$-409]* &quot;-&quot;??_ ;_-@_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C0000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i/>
      <sz val="8"/>
      <color rgb="FFC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8">
    <xf numFmtId="0" fontId="0" fillId="0" borderId="0" xfId="0"/>
    <xf numFmtId="164" fontId="0" fillId="0" borderId="0" xfId="0" applyNumberFormat="1" applyProtection="1">
      <protection hidden="1"/>
    </xf>
    <xf numFmtId="164" fontId="0" fillId="0" borderId="1" xfId="0" applyNumberFormat="1" applyBorder="1" applyProtection="1">
      <protection hidden="1"/>
    </xf>
    <xf numFmtId="164" fontId="3" fillId="0" borderId="0" xfId="0" applyNumberFormat="1" applyFont="1" applyProtection="1">
      <protection hidden="1"/>
    </xf>
    <xf numFmtId="164" fontId="2" fillId="2" borderId="0" xfId="0" applyNumberFormat="1" applyFont="1" applyFill="1" applyProtection="1">
      <protection hidden="1"/>
    </xf>
    <xf numFmtId="164" fontId="3" fillId="4" borderId="0" xfId="0" applyNumberFormat="1" applyFont="1" applyFill="1" applyProtection="1">
      <protection hidden="1"/>
    </xf>
    <xf numFmtId="0" fontId="0" fillId="0" borderId="0" xfId="0" applyProtection="1">
      <protection locked="0"/>
    </xf>
    <xf numFmtId="0" fontId="2" fillId="2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0" fillId="0" borderId="0" xfId="0" applyAlignment="1" applyProtection="1">
      <alignment horizontal="left" indent="1"/>
      <protection locked="0"/>
    </xf>
    <xf numFmtId="164" fontId="0" fillId="0" borderId="0" xfId="0" applyNumberFormat="1" applyProtection="1">
      <protection locked="0"/>
    </xf>
    <xf numFmtId="164" fontId="0" fillId="0" borderId="1" xfId="0" applyNumberFormat="1" applyBorder="1" applyProtection="1">
      <protection locked="0"/>
    </xf>
    <xf numFmtId="0" fontId="2" fillId="2" borderId="0" xfId="0" applyFont="1" applyFill="1" applyAlignment="1" applyProtection="1">
      <alignment horizontal="left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3" fillId="4" borderId="0" xfId="0" applyFont="1" applyFill="1" applyProtection="1">
      <protection locked="0"/>
    </xf>
    <xf numFmtId="0" fontId="6" fillId="0" borderId="0" xfId="0" applyFont="1" applyProtection="1">
      <protection locked="0"/>
    </xf>
    <xf numFmtId="0" fontId="0" fillId="0" borderId="1" xfId="0" applyBorder="1" applyProtection="1">
      <protection locked="0"/>
    </xf>
    <xf numFmtId="164" fontId="3" fillId="0" borderId="0" xfId="0" applyNumberFormat="1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2" xfId="0" applyFont="1" applyBorder="1" applyProtection="1">
      <protection locked="0"/>
    </xf>
    <xf numFmtId="0" fontId="0" fillId="3" borderId="3" xfId="0" applyFill="1" applyBorder="1" applyProtection="1">
      <protection locked="0"/>
    </xf>
    <xf numFmtId="9" fontId="5" fillId="3" borderId="4" xfId="1" applyFont="1" applyFill="1" applyBorder="1" applyAlignment="1" applyProtection="1">
      <alignment horizontal="center"/>
      <protection locked="0"/>
    </xf>
    <xf numFmtId="164" fontId="0" fillId="3" borderId="4" xfId="0" applyNumberFormat="1" applyFill="1" applyBorder="1" applyProtection="1">
      <protection locked="0"/>
    </xf>
    <xf numFmtId="0" fontId="0" fillId="0" borderId="3" xfId="0" applyBorder="1" applyProtection="1">
      <protection locked="0"/>
    </xf>
    <xf numFmtId="9" fontId="5" fillId="0" borderId="4" xfId="1" applyFont="1" applyBorder="1" applyAlignment="1" applyProtection="1">
      <alignment horizontal="center"/>
      <protection locked="0"/>
    </xf>
    <xf numFmtId="164" fontId="0" fillId="0" borderId="4" xfId="0" applyNumberFormat="1" applyBorder="1" applyProtection="1">
      <protection locked="0"/>
    </xf>
    <xf numFmtId="164" fontId="3" fillId="0" borderId="2" xfId="0" applyNumberFormat="1" applyFont="1" applyBorder="1" applyProtection="1">
      <protection hidden="1"/>
    </xf>
    <xf numFmtId="0" fontId="3" fillId="6" borderId="0" xfId="0" applyFont="1" applyFill="1" applyProtection="1">
      <protection locked="0"/>
    </xf>
    <xf numFmtId="164" fontId="3" fillId="6" borderId="0" xfId="0" applyNumberFormat="1" applyFont="1" applyFill="1" applyProtection="1">
      <protection locked="0"/>
    </xf>
    <xf numFmtId="165" fontId="0" fillId="0" borderId="0" xfId="0" applyNumberFormat="1" applyProtection="1">
      <protection locked="0"/>
    </xf>
    <xf numFmtId="165" fontId="0" fillId="0" borderId="0" xfId="0" applyNumberFormat="1" applyProtection="1">
      <protection hidden="1"/>
    </xf>
    <xf numFmtId="165" fontId="0" fillId="3" borderId="5" xfId="0" applyNumberFormat="1" applyFill="1" applyBorder="1" applyProtection="1">
      <protection hidden="1"/>
    </xf>
    <xf numFmtId="165" fontId="0" fillId="5" borderId="5" xfId="0" applyNumberFormat="1" applyFill="1" applyBorder="1" applyProtection="1">
      <protection hidden="1"/>
    </xf>
    <xf numFmtId="165" fontId="3" fillId="6" borderId="0" xfId="0" applyNumberFormat="1" applyFont="1" applyFill="1" applyProtection="1">
      <protection locked="0"/>
    </xf>
    <xf numFmtId="9" fontId="5" fillId="0" borderId="0" xfId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indent="2"/>
      <protection locked="0"/>
    </xf>
    <xf numFmtId="0" fontId="3" fillId="0" borderId="1" xfId="0" applyFont="1" applyBorder="1" applyProtection="1">
      <protection locked="0"/>
    </xf>
    <xf numFmtId="43" fontId="0" fillId="0" borderId="0" xfId="2" applyFont="1"/>
    <xf numFmtId="0" fontId="2" fillId="2" borderId="0" xfId="0" applyFont="1" applyFill="1"/>
    <xf numFmtId="17" fontId="7" fillId="0" borderId="0" xfId="0" applyNumberFormat="1" applyFont="1" applyAlignment="1">
      <alignment horizontal="left"/>
    </xf>
    <xf numFmtId="43" fontId="7" fillId="0" borderId="0" xfId="2" applyFont="1"/>
    <xf numFmtId="43" fontId="8" fillId="0" borderId="0" xfId="2" applyFont="1"/>
    <xf numFmtId="17" fontId="2" fillId="2" borderId="0" xfId="0" applyNumberFormat="1" applyFont="1" applyFill="1" applyProtection="1">
      <protection locked="0"/>
    </xf>
    <xf numFmtId="17" fontId="2" fillId="2" borderId="0" xfId="0" applyNumberFormat="1" applyFont="1" applyFill="1"/>
    <xf numFmtId="0" fontId="2" fillId="2" borderId="0" xfId="0" applyFont="1" applyFill="1" applyAlignment="1" applyProtection="1">
      <alignment horizontal="centerContinuous"/>
      <protection locked="0"/>
    </xf>
    <xf numFmtId="165" fontId="7" fillId="0" borderId="0" xfId="0" applyNumberFormat="1" applyFont="1" applyProtection="1">
      <protection locked="0"/>
    </xf>
    <xf numFmtId="43" fontId="9" fillId="7" borderId="0" xfId="2" applyFont="1" applyFill="1" applyProtection="1">
      <protection locked="0"/>
    </xf>
    <xf numFmtId="165" fontId="10" fillId="0" borderId="0" xfId="0" applyNumberFormat="1" applyFont="1" applyProtection="1">
      <protection locked="0"/>
    </xf>
    <xf numFmtId="43" fontId="11" fillId="7" borderId="0" xfId="2" applyFont="1" applyFill="1" applyProtection="1">
      <protection locked="0"/>
    </xf>
    <xf numFmtId="165" fontId="10" fillId="0" borderId="2" xfId="0" applyNumberFormat="1" applyFont="1" applyBorder="1" applyProtection="1">
      <protection locked="0"/>
    </xf>
    <xf numFmtId="43" fontId="11" fillId="7" borderId="2" xfId="2" applyFont="1" applyFill="1" applyBorder="1" applyProtection="1">
      <protection locked="0"/>
    </xf>
    <xf numFmtId="165" fontId="10" fillId="0" borderId="6" xfId="0" applyNumberFormat="1" applyFont="1" applyBorder="1" applyProtection="1">
      <protection locked="0"/>
    </xf>
    <xf numFmtId="43" fontId="11" fillId="7" borderId="6" xfId="2" applyFont="1" applyFill="1" applyBorder="1" applyProtection="1">
      <protection locked="0"/>
    </xf>
    <xf numFmtId="43" fontId="12" fillId="0" borderId="0" xfId="2" applyFont="1" applyAlignment="1">
      <alignment horizontal="centerContinuous"/>
    </xf>
    <xf numFmtId="0" fontId="10" fillId="0" borderId="0" xfId="0" applyFont="1"/>
    <xf numFmtId="43" fontId="10" fillId="0" borderId="0" xfId="2" applyFont="1"/>
    <xf numFmtId="0" fontId="3" fillId="0" borderId="0" xfId="0" applyFont="1" applyAlignment="1" applyProtection="1">
      <alignment horizontal="left" indent="1"/>
      <protection locked="0"/>
    </xf>
    <xf numFmtId="0" fontId="3" fillId="0" borderId="0" xfId="0" applyFont="1" applyAlignment="1" applyProtection="1">
      <alignment horizontal="left" indent="2"/>
      <protection locked="0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9B7F-4BF6-4E61-94BF-E954DB35BD82}">
  <dimension ref="A1:T64"/>
  <sheetViews>
    <sheetView tabSelected="1" workbookViewId="0">
      <pane xSplit="1" topLeftCell="G1" activePane="topRight" state="frozen"/>
      <selection pane="topRight" activeCell="A44" sqref="A44"/>
    </sheetView>
  </sheetViews>
  <sheetFormatPr defaultColWidth="8.77734375" defaultRowHeight="14.4" outlineLevelCol="1" x14ac:dyDescent="0.3"/>
  <cols>
    <col min="1" max="1" width="63" style="6" bestFit="1" customWidth="1"/>
    <col min="2" max="13" width="10.21875" style="6" customWidth="1" outlineLevel="1"/>
    <col min="14" max="14" width="10.88671875" style="6" bestFit="1" customWidth="1"/>
    <col min="15" max="15" width="8.77734375" style="6"/>
    <col min="16" max="16" width="11.88671875" style="6" bestFit="1" customWidth="1"/>
    <col min="17" max="17" width="13.88671875" style="6" customWidth="1"/>
    <col min="18" max="16384" width="8.77734375" style="6"/>
  </cols>
  <sheetData>
    <row r="1" spans="1:20" ht="23.4" x14ac:dyDescent="0.45">
      <c r="A1" s="15" t="s">
        <v>74</v>
      </c>
    </row>
    <row r="2" spans="1:20" ht="15.45" customHeight="1" x14ac:dyDescent="0.45">
      <c r="A2" s="15"/>
      <c r="P2" s="44" t="s">
        <v>59</v>
      </c>
      <c r="Q2" s="44"/>
    </row>
    <row r="3" spans="1:20" x14ac:dyDescent="0.3">
      <c r="A3" s="7"/>
      <c r="B3" s="42">
        <v>45658</v>
      </c>
      <c r="C3" s="42">
        <v>45689</v>
      </c>
      <c r="D3" s="42">
        <v>45717</v>
      </c>
      <c r="E3" s="42">
        <v>45748</v>
      </c>
      <c r="F3" s="42">
        <v>45778</v>
      </c>
      <c r="G3" s="42">
        <v>45809</v>
      </c>
      <c r="H3" s="42">
        <v>45839</v>
      </c>
      <c r="I3" s="42">
        <v>45870</v>
      </c>
      <c r="J3" s="42">
        <v>45901</v>
      </c>
      <c r="K3" s="42">
        <v>45931</v>
      </c>
      <c r="L3" s="42">
        <v>45962</v>
      </c>
      <c r="M3" s="42">
        <v>45992</v>
      </c>
      <c r="N3" s="7" t="s">
        <v>12</v>
      </c>
      <c r="P3" s="6" t="s">
        <v>50</v>
      </c>
      <c r="Q3" s="6" t="s">
        <v>51</v>
      </c>
    </row>
    <row r="4" spans="1:20" x14ac:dyDescent="0.3">
      <c r="A4" s="8" t="s">
        <v>13</v>
      </c>
    </row>
    <row r="5" spans="1:20" x14ac:dyDescent="0.3">
      <c r="A5" s="9" t="s">
        <v>17</v>
      </c>
      <c r="B5" s="10" cm="1">
        <f t="array" ref="B5:M5">TRANSPOSE('2025 Sales'!F2:F13)</f>
        <v>3361.5733736762481</v>
      </c>
      <c r="C5" s="10">
        <v>7074.0740740740739</v>
      </c>
      <c r="D5" s="10">
        <v>0</v>
      </c>
      <c r="E5" s="10">
        <v>0</v>
      </c>
      <c r="F5" s="10">
        <v>0</v>
      </c>
      <c r="G5" s="10">
        <v>19863.37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f>SUM(B5:M5)</f>
        <v>30299.017447750321</v>
      </c>
      <c r="P5" s="45">
        <f>IF(N5="","",N5/2)</f>
        <v>15149.50872387516</v>
      </c>
      <c r="Q5" s="46">
        <f>IF(N5="","",(N5/2)*'2025 Sales'!$D$14)</f>
        <v>400224.77130357525</v>
      </c>
    </row>
    <row r="6" spans="1:20" x14ac:dyDescent="0.3">
      <c r="A6" s="13" t="s">
        <v>18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6"/>
      <c r="P6" s="45"/>
      <c r="Q6" s="46"/>
    </row>
    <row r="7" spans="1:20" x14ac:dyDescent="0.3">
      <c r="A7" s="8" t="s">
        <v>19</v>
      </c>
      <c r="B7" s="3">
        <f>SUM(B5:B6)</f>
        <v>3361.5733736762481</v>
      </c>
      <c r="C7" s="3">
        <f t="shared" ref="C7:M7" si="0">SUM(C5:C6)</f>
        <v>7074.0740740740739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19863.37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>SUM(B7:M7)</f>
        <v>30299.017447750321</v>
      </c>
      <c r="P7" s="51">
        <f t="shared" ref="P7:P44" si="1">IF(N7="","",N7/2)</f>
        <v>15149.50872387516</v>
      </c>
      <c r="Q7" s="52">
        <f>IF(N7="","",(N7/2)*'2025 Sales'!$D$14)</f>
        <v>400224.77130357525</v>
      </c>
    </row>
    <row r="8" spans="1:20" x14ac:dyDescent="0.3">
      <c r="A8" s="36" t="s">
        <v>14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2">
        <f>SUM(B8:M8)</f>
        <v>0</v>
      </c>
      <c r="P8" s="45">
        <f t="shared" si="1"/>
        <v>0</v>
      </c>
      <c r="Q8" s="46">
        <f>IF(N8="","",(N8/2)*'2025 Sales'!$D$14)</f>
        <v>0</v>
      </c>
      <c r="T8" s="8"/>
    </row>
    <row r="9" spans="1:20" x14ac:dyDescent="0.3">
      <c r="A9" s="8" t="s">
        <v>15</v>
      </c>
      <c r="B9" s="3">
        <f>B7-B8</f>
        <v>3361.5733736762481</v>
      </c>
      <c r="C9" s="3">
        <f t="shared" ref="C9:N9" si="2">C7-C8</f>
        <v>7074.0740740740739</v>
      </c>
      <c r="D9" s="3">
        <f t="shared" si="2"/>
        <v>0</v>
      </c>
      <c r="E9" s="3">
        <f t="shared" si="2"/>
        <v>0</v>
      </c>
      <c r="F9" s="3">
        <f t="shared" si="2"/>
        <v>0</v>
      </c>
      <c r="G9" s="3">
        <f t="shared" si="2"/>
        <v>19863.37</v>
      </c>
      <c r="H9" s="3">
        <f t="shared" si="2"/>
        <v>0</v>
      </c>
      <c r="I9" s="3">
        <f t="shared" si="2"/>
        <v>0</v>
      </c>
      <c r="J9" s="3">
        <f t="shared" si="2"/>
        <v>0</v>
      </c>
      <c r="K9" s="3">
        <f t="shared" si="2"/>
        <v>0</v>
      </c>
      <c r="L9" s="3">
        <f t="shared" si="2"/>
        <v>0</v>
      </c>
      <c r="M9" s="3">
        <f t="shared" si="2"/>
        <v>0</v>
      </c>
      <c r="N9" s="3">
        <f t="shared" si="2"/>
        <v>30299.017447750321</v>
      </c>
      <c r="P9" s="51">
        <f t="shared" si="1"/>
        <v>15149.50872387516</v>
      </c>
      <c r="Q9" s="52">
        <f>IF(N9="","",(N9/2)*'2025 Sales'!$D$14)</f>
        <v>400224.77130357525</v>
      </c>
    </row>
    <row r="10" spans="1:20" x14ac:dyDescent="0.3">
      <c r="A10" s="35" t="s">
        <v>49</v>
      </c>
      <c r="B10" s="34">
        <f>IFERROR(B9/B7,"")</f>
        <v>1</v>
      </c>
      <c r="C10" s="34">
        <f t="shared" ref="C10:M10" si="3">IFERROR(C9/C7,"")</f>
        <v>1</v>
      </c>
      <c r="D10" s="34" t="str">
        <f t="shared" si="3"/>
        <v/>
      </c>
      <c r="E10" s="34" t="str">
        <f t="shared" si="3"/>
        <v/>
      </c>
      <c r="F10" s="34" t="str">
        <f t="shared" si="3"/>
        <v/>
      </c>
      <c r="G10" s="34">
        <f t="shared" si="3"/>
        <v>1</v>
      </c>
      <c r="H10" s="34" t="str">
        <f t="shared" si="3"/>
        <v/>
      </c>
      <c r="I10" s="34" t="str">
        <f t="shared" si="3"/>
        <v/>
      </c>
      <c r="J10" s="34" t="str">
        <f t="shared" si="3"/>
        <v/>
      </c>
      <c r="K10" s="34" t="str">
        <f t="shared" si="3"/>
        <v/>
      </c>
      <c r="L10" s="34" t="str">
        <f t="shared" si="3"/>
        <v/>
      </c>
      <c r="M10" s="34" t="str">
        <f t="shared" si="3"/>
        <v/>
      </c>
      <c r="N10" s="34">
        <f t="shared" ref="C10:N10" si="4">N9/N7</f>
        <v>1</v>
      </c>
      <c r="P10" s="45"/>
      <c r="Q10" s="46"/>
    </row>
    <row r="11" spans="1:20" x14ac:dyDescent="0.3">
      <c r="A11" s="8" t="s">
        <v>16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P11" s="45"/>
      <c r="Q11" s="46"/>
    </row>
    <row r="12" spans="1:20" x14ac:dyDescent="0.3">
      <c r="A12" s="9" t="s">
        <v>20</v>
      </c>
      <c r="B12" s="10">
        <f>'Operating Expenses 2025'!B2</f>
        <v>0</v>
      </c>
      <c r="C12" s="10">
        <f>'Operating Expenses 2025'!C2</f>
        <v>0</v>
      </c>
      <c r="D12" s="10">
        <f>'Operating Expenses 2025'!D2</f>
        <v>0</v>
      </c>
      <c r="E12" s="10">
        <f>'Operating Expenses 2025'!E2</f>
        <v>0</v>
      </c>
      <c r="F12" s="10">
        <f>'Operating Expenses 2025'!F2</f>
        <v>0</v>
      </c>
      <c r="G12" s="10">
        <f>'Operating Expenses 2025'!G2</f>
        <v>12000</v>
      </c>
      <c r="H12" s="10">
        <f>'Operating Expenses 2025'!H2</f>
        <v>0</v>
      </c>
      <c r="I12" s="10">
        <f>'Operating Expenses 2025'!I2</f>
        <v>0</v>
      </c>
      <c r="J12" s="10">
        <f>'Operating Expenses 2025'!J2</f>
        <v>0</v>
      </c>
      <c r="K12" s="10">
        <f>'Operating Expenses 2025'!K2</f>
        <v>0</v>
      </c>
      <c r="L12" s="10">
        <f>'Operating Expenses 2025'!L2</f>
        <v>0</v>
      </c>
      <c r="M12" s="10">
        <f>'Operating Expenses 2025'!M2</f>
        <v>0</v>
      </c>
      <c r="N12" s="10">
        <f>SUM(B12:M12)</f>
        <v>12000</v>
      </c>
      <c r="P12" s="45">
        <f t="shared" si="1"/>
        <v>6000</v>
      </c>
      <c r="Q12" s="46">
        <f>IF(N12="","",(N12/2)*'2025 Sales'!$D$14)</f>
        <v>158510</v>
      </c>
    </row>
    <row r="13" spans="1:20" x14ac:dyDescent="0.3">
      <c r="A13" s="9" t="s">
        <v>21</v>
      </c>
      <c r="B13" s="10">
        <f>'Operating Expenses 2025'!B3</f>
        <v>0</v>
      </c>
      <c r="C13" s="10">
        <f>'Operating Expenses 2025'!C3</f>
        <v>0</v>
      </c>
      <c r="D13" s="10">
        <f>'Operating Expenses 2025'!D3</f>
        <v>0</v>
      </c>
      <c r="E13" s="10">
        <f>'Operating Expenses 2025'!E3</f>
        <v>0</v>
      </c>
      <c r="F13" s="10">
        <f>'Operating Expenses 2025'!F3</f>
        <v>0</v>
      </c>
      <c r="G13" s="10">
        <f>'Operating Expenses 2025'!G3</f>
        <v>1020</v>
      </c>
      <c r="H13" s="10">
        <f>'Operating Expenses 2025'!H3</f>
        <v>0</v>
      </c>
      <c r="I13" s="10">
        <f>'Operating Expenses 2025'!I3</f>
        <v>0</v>
      </c>
      <c r="J13" s="10">
        <f>'Operating Expenses 2025'!J3</f>
        <v>0</v>
      </c>
      <c r="K13" s="10">
        <f>'Operating Expenses 2025'!K3</f>
        <v>0</v>
      </c>
      <c r="L13" s="10">
        <f>'Operating Expenses 2025'!L3</f>
        <v>0</v>
      </c>
      <c r="M13" s="10">
        <f>'Operating Expenses 2025'!M3</f>
        <v>0</v>
      </c>
      <c r="N13" s="10">
        <f>SUM(B13:M13)</f>
        <v>1020</v>
      </c>
      <c r="P13" s="45">
        <f t="shared" si="1"/>
        <v>510</v>
      </c>
      <c r="Q13" s="46">
        <f>IF(N13="","",(N13/2)*'2025 Sales'!$D$14)</f>
        <v>13473.35</v>
      </c>
    </row>
    <row r="14" spans="1:20" x14ac:dyDescent="0.3">
      <c r="A14" s="13" t="s">
        <v>22</v>
      </c>
      <c r="B14" s="11">
        <f>'Operating Expenses 2025'!B4</f>
        <v>0</v>
      </c>
      <c r="C14" s="11">
        <f>'Operating Expenses 2025'!C4</f>
        <v>0</v>
      </c>
      <c r="D14" s="11">
        <f>'Operating Expenses 2025'!D4</f>
        <v>0</v>
      </c>
      <c r="E14" s="11">
        <f>'Operating Expenses 2025'!E4</f>
        <v>0</v>
      </c>
      <c r="F14" s="11">
        <f>'Operating Expenses 2025'!F4</f>
        <v>0</v>
      </c>
      <c r="G14" s="11">
        <f>'Operating Expenses 2025'!G4</f>
        <v>5500</v>
      </c>
      <c r="H14" s="11">
        <f>'Operating Expenses 2025'!H4</f>
        <v>0</v>
      </c>
      <c r="I14" s="11">
        <f>'Operating Expenses 2025'!I4</f>
        <v>0</v>
      </c>
      <c r="J14" s="11">
        <f>'Operating Expenses 2025'!J4</f>
        <v>0</v>
      </c>
      <c r="K14" s="11">
        <f>'Operating Expenses 2025'!K4</f>
        <v>0</v>
      </c>
      <c r="L14" s="11">
        <f>'Operating Expenses 2025'!L4</f>
        <v>0</v>
      </c>
      <c r="M14" s="11">
        <f>'Operating Expenses 2025'!M4</f>
        <v>0</v>
      </c>
      <c r="N14" s="11">
        <f>SUM(B14:M14)</f>
        <v>5500</v>
      </c>
      <c r="P14" s="45">
        <f t="shared" si="1"/>
        <v>2750</v>
      </c>
      <c r="Q14" s="46">
        <f>IF(N14="","",(N14/2)*'2025 Sales'!$D$14)</f>
        <v>72650.416666666672</v>
      </c>
    </row>
    <row r="15" spans="1:20" x14ac:dyDescent="0.3">
      <c r="A15" s="8" t="s">
        <v>23</v>
      </c>
      <c r="B15" s="3">
        <f t="shared" ref="B15:M15" si="5">SUM(B12:B14)</f>
        <v>0</v>
      </c>
      <c r="C15" s="3">
        <f t="shared" si="5"/>
        <v>0</v>
      </c>
      <c r="D15" s="3">
        <f t="shared" si="5"/>
        <v>0</v>
      </c>
      <c r="E15" s="3">
        <f t="shared" si="5"/>
        <v>0</v>
      </c>
      <c r="F15" s="3">
        <f t="shared" si="5"/>
        <v>0</v>
      </c>
      <c r="G15" s="3">
        <f t="shared" si="5"/>
        <v>18520</v>
      </c>
      <c r="H15" s="3">
        <f t="shared" si="5"/>
        <v>0</v>
      </c>
      <c r="I15" s="3">
        <f t="shared" si="5"/>
        <v>0</v>
      </c>
      <c r="J15" s="3">
        <f t="shared" si="5"/>
        <v>0</v>
      </c>
      <c r="K15" s="3">
        <f t="shared" si="5"/>
        <v>0</v>
      </c>
      <c r="L15" s="3">
        <f t="shared" si="5"/>
        <v>0</v>
      </c>
      <c r="M15" s="3">
        <f t="shared" si="5"/>
        <v>0</v>
      </c>
      <c r="N15" s="3">
        <f>SUM(B15:M15)</f>
        <v>18520</v>
      </c>
      <c r="P15" s="47">
        <f t="shared" si="1"/>
        <v>9260</v>
      </c>
      <c r="Q15" s="48">
        <f>IF(N15="","",(N15/2)*'2025 Sales'!$D$14)</f>
        <v>244633.76666666666</v>
      </c>
    </row>
    <row r="16" spans="1:20" x14ac:dyDescent="0.3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P16" s="45"/>
      <c r="Q16" s="46"/>
    </row>
    <row r="17" spans="1:17" x14ac:dyDescent="0.3">
      <c r="A17" s="18" t="s">
        <v>24</v>
      </c>
      <c r="B17" s="3">
        <f t="shared" ref="B17:N17" si="6">B9-B15</f>
        <v>3361.5733736762481</v>
      </c>
      <c r="C17" s="3">
        <f t="shared" si="6"/>
        <v>7074.0740740740739</v>
      </c>
      <c r="D17" s="3">
        <f t="shared" si="6"/>
        <v>0</v>
      </c>
      <c r="E17" s="3">
        <f t="shared" si="6"/>
        <v>0</v>
      </c>
      <c r="F17" s="3">
        <f t="shared" si="6"/>
        <v>0</v>
      </c>
      <c r="G17" s="3">
        <f t="shared" si="6"/>
        <v>1343.369999999999</v>
      </c>
      <c r="H17" s="3">
        <f t="shared" si="6"/>
        <v>0</v>
      </c>
      <c r="I17" s="3">
        <f t="shared" si="6"/>
        <v>0</v>
      </c>
      <c r="J17" s="3">
        <f t="shared" si="6"/>
        <v>0</v>
      </c>
      <c r="K17" s="3">
        <f t="shared" si="6"/>
        <v>0</v>
      </c>
      <c r="L17" s="3">
        <f t="shared" si="6"/>
        <v>0</v>
      </c>
      <c r="M17" s="3">
        <f t="shared" si="6"/>
        <v>0</v>
      </c>
      <c r="N17" s="3">
        <f t="shared" si="6"/>
        <v>11779.017447750321</v>
      </c>
      <c r="P17" s="47">
        <f t="shared" si="1"/>
        <v>5889.5087238751603</v>
      </c>
      <c r="Q17" s="48">
        <f>IF(N17="","",(N17/2)*'2025 Sales'!$D$14)</f>
        <v>155591.00463690862</v>
      </c>
    </row>
    <row r="18" spans="1:17" x14ac:dyDescent="0.3">
      <c r="A18" s="9" t="s">
        <v>25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">
        <f>SUM(B18:M18)</f>
        <v>0</v>
      </c>
      <c r="P18" s="45">
        <f t="shared" si="1"/>
        <v>0</v>
      </c>
      <c r="Q18" s="46">
        <f>IF(N18="","",(N18/2)*'2025 Sales'!$D$14)</f>
        <v>0</v>
      </c>
    </row>
    <row r="19" spans="1:17" ht="15" thickBot="1" x14ac:dyDescent="0.35">
      <c r="A19" s="19" t="s">
        <v>26</v>
      </c>
      <c r="B19" s="26">
        <f>B17-B18</f>
        <v>3361.5733736762481</v>
      </c>
      <c r="C19" s="26">
        <f t="shared" ref="C19:M19" si="7">C17-C18</f>
        <v>7074.0740740740739</v>
      </c>
      <c r="D19" s="26">
        <f t="shared" si="7"/>
        <v>0</v>
      </c>
      <c r="E19" s="26">
        <f t="shared" si="7"/>
        <v>0</v>
      </c>
      <c r="F19" s="26">
        <f t="shared" si="7"/>
        <v>0</v>
      </c>
      <c r="G19" s="26">
        <f t="shared" si="7"/>
        <v>1343.369999999999</v>
      </c>
      <c r="H19" s="26">
        <f t="shared" si="7"/>
        <v>0</v>
      </c>
      <c r="I19" s="26">
        <f t="shared" si="7"/>
        <v>0</v>
      </c>
      <c r="J19" s="26">
        <f t="shared" si="7"/>
        <v>0</v>
      </c>
      <c r="K19" s="26">
        <f t="shared" si="7"/>
        <v>0</v>
      </c>
      <c r="L19" s="26">
        <f t="shared" si="7"/>
        <v>0</v>
      </c>
      <c r="M19" s="26">
        <f t="shared" si="7"/>
        <v>0</v>
      </c>
      <c r="N19" s="26">
        <f>N17-N18</f>
        <v>11779.017447750321</v>
      </c>
      <c r="P19" s="47">
        <f t="shared" si="1"/>
        <v>5889.5087238751603</v>
      </c>
      <c r="Q19" s="48">
        <f>IF(N19="","",(N19/2)*'2025 Sales'!$D$14)</f>
        <v>155591.00463690862</v>
      </c>
    </row>
    <row r="20" spans="1:17" ht="15" thickTop="1" x14ac:dyDescent="0.3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P20" s="47" t="str">
        <f t="shared" si="1"/>
        <v/>
      </c>
      <c r="Q20" s="48" t="str">
        <f>IF(N20="","",(N20/2)*'2025 Sales'!$D$14)</f>
        <v/>
      </c>
    </row>
    <row r="21" spans="1:17" x14ac:dyDescent="0.3">
      <c r="A21" s="8" t="s">
        <v>62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P21" s="47" t="str">
        <f t="shared" si="1"/>
        <v/>
      </c>
      <c r="Q21" s="48" t="str">
        <f>IF(N21="","",(N21/2)*'2025 Sales'!$D$14)</f>
        <v/>
      </c>
    </row>
    <row r="22" spans="1:17" x14ac:dyDescent="0.3">
      <c r="A22" s="8" t="s">
        <v>63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P22" s="47" t="str">
        <f t="shared" si="1"/>
        <v/>
      </c>
      <c r="Q22" s="48" t="str">
        <f>IF(N22="","",(N22/2)*'2025 Sales'!$D$14)</f>
        <v/>
      </c>
    </row>
    <row r="23" spans="1:17" x14ac:dyDescent="0.3">
      <c r="A23" s="8" t="s">
        <v>64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P23" s="47" t="str">
        <f t="shared" si="1"/>
        <v/>
      </c>
      <c r="Q23" s="48" t="str">
        <f>IF(N23="","",(N23/2)*'2025 Sales'!$D$14)</f>
        <v/>
      </c>
    </row>
    <row r="24" spans="1:17" x14ac:dyDescent="0.3">
      <c r="A24" s="8" t="s">
        <v>65</v>
      </c>
      <c r="B24" s="3">
        <v>2700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P24" s="47" t="str">
        <f t="shared" si="1"/>
        <v/>
      </c>
      <c r="Q24" s="48" t="str">
        <f>IF(N24="","",(N24/2)*'2025 Sales'!$D$14)</f>
        <v/>
      </c>
    </row>
    <row r="25" spans="1:17" x14ac:dyDescent="0.3">
      <c r="A25" s="8" t="s">
        <v>66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P25" s="47" t="str">
        <f t="shared" si="1"/>
        <v/>
      </c>
      <c r="Q25" s="48" t="str">
        <f>IF(N25="","",(N25/2)*'2025 Sales'!$D$14)</f>
        <v/>
      </c>
    </row>
    <row r="26" spans="1:17" x14ac:dyDescent="0.3">
      <c r="A26" s="8" t="s">
        <v>67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P26" s="47" t="str">
        <f t="shared" si="1"/>
        <v/>
      </c>
      <c r="Q26" s="48" t="str">
        <f>IF(N26="","",(N26/2)*'2025 Sales'!$D$14)</f>
        <v/>
      </c>
    </row>
    <row r="27" spans="1:17" x14ac:dyDescent="0.3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P27" s="47" t="str">
        <f t="shared" si="1"/>
        <v/>
      </c>
      <c r="Q27" s="48" t="str">
        <f>IF(N27="","",(N27/2)*'2025 Sales'!$D$14)</f>
        <v/>
      </c>
    </row>
    <row r="28" spans="1:17" x14ac:dyDescent="0.3">
      <c r="A28" s="8" t="s">
        <v>68</v>
      </c>
      <c r="B28" s="3">
        <v>2700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>
        <f>SUM(B28:M28)</f>
        <v>2700</v>
      </c>
      <c r="P28" s="47">
        <f t="shared" si="1"/>
        <v>1350</v>
      </c>
      <c r="Q28" s="48">
        <f>IF(N28="","",(N28/2)*'2025 Sales'!$D$14)</f>
        <v>35664.75</v>
      </c>
    </row>
    <row r="29" spans="1:17" x14ac:dyDescent="0.3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P29" s="47" t="str">
        <f t="shared" si="1"/>
        <v/>
      </c>
      <c r="Q29" s="48" t="str">
        <f>IF(N29="","",(N29/2)*'2025 Sales'!$D$14)</f>
        <v/>
      </c>
    </row>
    <row r="30" spans="1:17" x14ac:dyDescent="0.3">
      <c r="A30" s="56" t="s">
        <v>69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47" t="str">
        <f t="shared" si="1"/>
        <v/>
      </c>
      <c r="Q30" s="48" t="str">
        <f>IF(N30="","",(N30/2)*'2025 Sales'!$D$14)</f>
        <v/>
      </c>
    </row>
    <row r="31" spans="1:17" x14ac:dyDescent="0.3">
      <c r="A31" s="57" t="s">
        <v>70</v>
      </c>
      <c r="B31" s="3">
        <v>4500</v>
      </c>
      <c r="C31" s="3">
        <f t="shared" ref="C31:M31" si="8">0.25*C28</f>
        <v>0</v>
      </c>
      <c r="D31" s="3">
        <f t="shared" si="8"/>
        <v>0</v>
      </c>
      <c r="E31" s="3">
        <f t="shared" si="8"/>
        <v>0</v>
      </c>
      <c r="F31" s="3">
        <f t="shared" si="8"/>
        <v>0</v>
      </c>
      <c r="G31" s="3">
        <f t="shared" si="8"/>
        <v>0</v>
      </c>
      <c r="H31" s="3">
        <f t="shared" si="8"/>
        <v>0</v>
      </c>
      <c r="I31" s="3">
        <f t="shared" si="8"/>
        <v>0</v>
      </c>
      <c r="J31" s="3">
        <f t="shared" si="8"/>
        <v>0</v>
      </c>
      <c r="K31" s="3">
        <f t="shared" si="8"/>
        <v>0</v>
      </c>
      <c r="L31" s="3">
        <f t="shared" si="8"/>
        <v>0</v>
      </c>
      <c r="M31" s="3">
        <f t="shared" si="8"/>
        <v>0</v>
      </c>
      <c r="N31" s="3">
        <f>SUM(B31:M31)</f>
        <v>4500</v>
      </c>
      <c r="P31" s="47">
        <f t="shared" si="1"/>
        <v>2250</v>
      </c>
      <c r="Q31" s="48">
        <f>IF(N31="","",(N31/2)*'2025 Sales'!$D$14)</f>
        <v>59441.25</v>
      </c>
    </row>
    <row r="32" spans="1:17" x14ac:dyDescent="0.3">
      <c r="A32" s="57" t="s">
        <v>71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P32" s="47" t="str">
        <f t="shared" si="1"/>
        <v/>
      </c>
      <c r="Q32" s="48" t="str">
        <f>IF(N32="","",(N32/2)*'2025 Sales'!$D$14)</f>
        <v/>
      </c>
    </row>
    <row r="33" spans="1:17" x14ac:dyDescent="0.3">
      <c r="A33" s="57" t="s">
        <v>72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P33" s="47" t="str">
        <f t="shared" si="1"/>
        <v/>
      </c>
      <c r="Q33" s="48" t="str">
        <f>IF(N33="","",(N33/2)*'2025 Sales'!$D$14)</f>
        <v/>
      </c>
    </row>
    <row r="34" spans="1:17" x14ac:dyDescent="0.3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P34" s="47" t="str">
        <f t="shared" si="1"/>
        <v/>
      </c>
      <c r="Q34" s="48" t="str">
        <f>IF(N34="","",(N34/2)*'2025 Sales'!$D$14)</f>
        <v/>
      </c>
    </row>
    <row r="35" spans="1:17" x14ac:dyDescent="0.3">
      <c r="A35" s="8" t="s">
        <v>73</v>
      </c>
      <c r="B35" s="3">
        <f>B19-B31-B32-B33</f>
        <v>-1138.4266263237519</v>
      </c>
      <c r="C35" s="3">
        <f t="shared" ref="C35:L35" si="9">C19-C31-C32-C33</f>
        <v>7074.0740740740739</v>
      </c>
      <c r="D35" s="3">
        <f t="shared" si="9"/>
        <v>0</v>
      </c>
      <c r="E35" s="3">
        <f t="shared" si="9"/>
        <v>0</v>
      </c>
      <c r="F35" s="3">
        <f t="shared" si="9"/>
        <v>0</v>
      </c>
      <c r="G35" s="3">
        <f t="shared" si="9"/>
        <v>1343.369999999999</v>
      </c>
      <c r="H35" s="3">
        <f t="shared" si="9"/>
        <v>0</v>
      </c>
      <c r="I35" s="3">
        <f t="shared" si="9"/>
        <v>0</v>
      </c>
      <c r="J35" s="3">
        <f t="shared" si="9"/>
        <v>0</v>
      </c>
      <c r="K35" s="3">
        <f t="shared" si="9"/>
        <v>0</v>
      </c>
      <c r="L35" s="3">
        <f t="shared" si="9"/>
        <v>0</v>
      </c>
      <c r="M35" s="3">
        <f>M19-M31-M32-M33</f>
        <v>0</v>
      </c>
      <c r="N35" s="3">
        <f>SUM(B35:M35)</f>
        <v>7279.0174477503206</v>
      </c>
      <c r="P35" s="47">
        <f>IF(N35="","",N35/2)</f>
        <v>3639.5087238751603</v>
      </c>
      <c r="Q35" s="48">
        <f>IF(N35="","",(N35/2)*'2025 Sales'!$D$14)</f>
        <v>96149.754636908605</v>
      </c>
    </row>
    <row r="36" spans="1:17" x14ac:dyDescent="0.3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P36" s="47" t="str">
        <f t="shared" si="1"/>
        <v/>
      </c>
      <c r="Q36" s="46"/>
    </row>
    <row r="37" spans="1:17" x14ac:dyDescent="0.3">
      <c r="A37" s="6" t="s">
        <v>27</v>
      </c>
      <c r="B37" s="1" t="str">
        <f>IF(B35&lt;=0,"0",B35*0.25)</f>
        <v>0</v>
      </c>
      <c r="C37" s="1">
        <f t="shared" ref="C37:M37" si="10">IF(C35&lt;=0,"0",C35*0.25)</f>
        <v>1768.5185185185185</v>
      </c>
      <c r="D37" s="1" t="str">
        <f t="shared" si="10"/>
        <v>0</v>
      </c>
      <c r="E37" s="1" t="str">
        <f t="shared" si="10"/>
        <v>0</v>
      </c>
      <c r="F37" s="1" t="str">
        <f t="shared" si="10"/>
        <v>0</v>
      </c>
      <c r="G37" s="1">
        <f t="shared" si="10"/>
        <v>335.84249999999975</v>
      </c>
      <c r="H37" s="1" t="str">
        <f t="shared" si="10"/>
        <v>0</v>
      </c>
      <c r="I37" s="1" t="str">
        <f t="shared" si="10"/>
        <v>0</v>
      </c>
      <c r="J37" s="1" t="str">
        <f t="shared" si="10"/>
        <v>0</v>
      </c>
      <c r="K37" s="1" t="str">
        <f t="shared" si="10"/>
        <v>0</v>
      </c>
      <c r="L37" s="1" t="str">
        <f t="shared" si="10"/>
        <v>0</v>
      </c>
      <c r="M37" s="1" t="str">
        <f t="shared" si="10"/>
        <v>0</v>
      </c>
      <c r="N37" s="30">
        <f>IF(N35&lt;=0,"0",N35*0.25)</f>
        <v>1819.7543619375801</v>
      </c>
      <c r="P37" s="45">
        <f t="shared" si="1"/>
        <v>909.87718096879007</v>
      </c>
      <c r="Q37" s="46">
        <f>IF(N37="","",(N37/2)*'2025 Sales'!$D$14)</f>
        <v>24037.438659227151</v>
      </c>
    </row>
    <row r="38" spans="1:17" x14ac:dyDescent="0.3">
      <c r="A38" s="6" t="s">
        <v>47</v>
      </c>
      <c r="B38" s="1">
        <f>0.03*B37</f>
        <v>0</v>
      </c>
      <c r="C38" s="1">
        <f t="shared" ref="C38:M38" si="11">0.03*C37</f>
        <v>53.05555555555555</v>
      </c>
      <c r="D38" s="1">
        <f t="shared" si="11"/>
        <v>0</v>
      </c>
      <c r="E38" s="1">
        <f t="shared" si="11"/>
        <v>0</v>
      </c>
      <c r="F38" s="1">
        <f t="shared" si="11"/>
        <v>0</v>
      </c>
      <c r="G38" s="1">
        <f t="shared" si="11"/>
        <v>10.075274999999992</v>
      </c>
      <c r="H38" s="1">
        <f>0.03*H37</f>
        <v>0</v>
      </c>
      <c r="I38" s="1">
        <f>0.03*I37</f>
        <v>0</v>
      </c>
      <c r="J38" s="1">
        <f t="shared" si="11"/>
        <v>0</v>
      </c>
      <c r="K38" s="1">
        <f t="shared" si="11"/>
        <v>0</v>
      </c>
      <c r="L38" s="1">
        <f t="shared" si="11"/>
        <v>0</v>
      </c>
      <c r="M38" s="1">
        <f t="shared" si="11"/>
        <v>0</v>
      </c>
      <c r="N38" s="30">
        <f>0.03*N37</f>
        <v>54.5926308581274</v>
      </c>
      <c r="O38" s="29"/>
      <c r="P38" s="45">
        <f t="shared" si="1"/>
        <v>27.2963154290637</v>
      </c>
      <c r="Q38" s="46">
        <f>IF(N38="","",(N38/2)*'2025 Sales'!$D$14)</f>
        <v>721.12315977681453</v>
      </c>
    </row>
    <row r="39" spans="1:17" ht="15" thickBot="1" x14ac:dyDescent="0.35">
      <c r="A39" s="27" t="s">
        <v>48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33">
        <f>SUM(N37:N38)</f>
        <v>1874.3469927957076</v>
      </c>
      <c r="P39" s="49">
        <f t="shared" si="1"/>
        <v>937.1734963978538</v>
      </c>
      <c r="Q39" s="50">
        <f>IF(N39="","",(N39/2)*'2025 Sales'!$D$14)</f>
        <v>24758.561819003968</v>
      </c>
    </row>
    <row r="40" spans="1:17" ht="15.6" thickTop="1" thickBot="1" x14ac:dyDescent="0.35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P40" s="45"/>
      <c r="Q40" s="46"/>
    </row>
    <row r="41" spans="1:17" ht="15" thickBot="1" x14ac:dyDescent="0.35">
      <c r="A41" s="20" t="s">
        <v>76</v>
      </c>
      <c r="B41" s="21">
        <v>0.1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31">
        <f>$N$39*B41</f>
        <v>187.43469927957076</v>
      </c>
      <c r="P41" s="45">
        <f t="shared" si="1"/>
        <v>93.717349639785382</v>
      </c>
      <c r="Q41" s="46">
        <f>IF(N41="","",(N41/2)*'2025 Sales'!$D$14)</f>
        <v>2475.8561819003967</v>
      </c>
    </row>
    <row r="42" spans="1:17" ht="15" thickBot="1" x14ac:dyDescent="0.35">
      <c r="A42" s="23" t="s">
        <v>77</v>
      </c>
      <c r="B42" s="24">
        <v>0.25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32">
        <f t="shared" ref="N42:N44" si="12">$N$39*B42</f>
        <v>468.5867481989269</v>
      </c>
      <c r="P42" s="45">
        <f t="shared" si="1"/>
        <v>234.29337409946345</v>
      </c>
      <c r="Q42" s="46">
        <f>IF(N42="","",(N42/2)*'2025 Sales'!$D$14)</f>
        <v>6189.6404547509919</v>
      </c>
    </row>
    <row r="43" spans="1:17" ht="15" thickBot="1" x14ac:dyDescent="0.35">
      <c r="A43" s="20" t="s">
        <v>78</v>
      </c>
      <c r="B43" s="21">
        <v>0.3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31">
        <f t="shared" si="12"/>
        <v>562.30409783871221</v>
      </c>
      <c r="P43" s="45">
        <f t="shared" si="1"/>
        <v>281.1520489193561</v>
      </c>
      <c r="Q43" s="46">
        <f>IF(N43="","",(N43/2)*'2025 Sales'!$D$14)</f>
        <v>7427.5685457011896</v>
      </c>
    </row>
    <row r="44" spans="1:17" ht="15" thickBot="1" x14ac:dyDescent="0.35">
      <c r="A44" s="23" t="s">
        <v>61</v>
      </c>
      <c r="B44" s="24">
        <v>0.35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32">
        <f t="shared" si="12"/>
        <v>656.02144747849763</v>
      </c>
      <c r="P44" s="45">
        <f t="shared" si="1"/>
        <v>328.01072373924882</v>
      </c>
      <c r="Q44" s="46">
        <f>IF(N44="","",(N44/2)*'2025 Sales'!$D$14)</f>
        <v>8665.4966366513891</v>
      </c>
    </row>
    <row r="45" spans="1:17" x14ac:dyDescent="0.3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7" x14ac:dyDescent="0.3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7" x14ac:dyDescent="0.3">
      <c r="B47" s="10"/>
      <c r="C47" s="10"/>
      <c r="D47" s="10"/>
      <c r="E47" s="10"/>
      <c r="F47" s="10"/>
      <c r="G47" s="10"/>
      <c r="H47" s="10" t="s">
        <v>75</v>
      </c>
      <c r="I47" s="10"/>
      <c r="J47" s="10"/>
      <c r="K47" s="10"/>
      <c r="L47" s="10"/>
      <c r="M47" s="10"/>
    </row>
    <row r="48" spans="1:17" x14ac:dyDescent="0.3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2:13" x14ac:dyDescent="0.3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2:13" x14ac:dyDescent="0.3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2:13" x14ac:dyDescent="0.3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2:13" x14ac:dyDescent="0.3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2:13" x14ac:dyDescent="0.3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2:13" x14ac:dyDescent="0.3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2:13" x14ac:dyDescent="0.3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2:13" x14ac:dyDescent="0.3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2:13" x14ac:dyDescent="0.3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2:13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2:13" x14ac:dyDescent="0.3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2:13" x14ac:dyDescent="0.3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2:13" x14ac:dyDescent="0.3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spans="2:13" x14ac:dyDescent="0.3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2:13" x14ac:dyDescent="0.3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spans="2:13" x14ac:dyDescent="0.3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8243-4AAF-44E8-8841-2605C790E5F3}">
  <dimension ref="A1:G14"/>
  <sheetViews>
    <sheetView workbookViewId="0">
      <selection activeCell="B4" sqref="B4"/>
    </sheetView>
  </sheetViews>
  <sheetFormatPr defaultRowHeight="14.4" x14ac:dyDescent="0.3"/>
  <cols>
    <col min="1" max="1" width="13.6640625" bestFit="1" customWidth="1"/>
    <col min="2" max="5" width="12.44140625" customWidth="1"/>
    <col min="6" max="6" width="10.109375" bestFit="1" customWidth="1"/>
  </cols>
  <sheetData>
    <row r="1" spans="1:7" x14ac:dyDescent="0.3">
      <c r="A1" s="38" t="s">
        <v>54</v>
      </c>
      <c r="B1" s="38" t="s">
        <v>50</v>
      </c>
      <c r="C1" s="38" t="s">
        <v>51</v>
      </c>
      <c r="D1" s="38" t="s">
        <v>52</v>
      </c>
      <c r="E1" s="38" t="s">
        <v>53</v>
      </c>
      <c r="F1" s="38" t="s">
        <v>56</v>
      </c>
    </row>
    <row r="2" spans="1:7" x14ac:dyDescent="0.3">
      <c r="A2" s="39">
        <v>45658</v>
      </c>
      <c r="B2" s="40">
        <v>2000</v>
      </c>
      <c r="C2" s="40">
        <v>36000</v>
      </c>
      <c r="D2" s="40">
        <v>26.44</v>
      </c>
      <c r="E2" s="40">
        <f>C2/D2</f>
        <v>1361.5733736762481</v>
      </c>
      <c r="F2" s="40">
        <f>B2+E2</f>
        <v>3361.5733736762481</v>
      </c>
      <c r="G2" s="37"/>
    </row>
    <row r="3" spans="1:7" x14ac:dyDescent="0.3">
      <c r="A3" s="39">
        <v>45689</v>
      </c>
      <c r="B3" s="40">
        <v>5000</v>
      </c>
      <c r="C3" s="40">
        <v>56000</v>
      </c>
      <c r="D3" s="40">
        <v>27</v>
      </c>
      <c r="E3" s="40">
        <f t="shared" ref="E3:E13" si="0">C3/D3</f>
        <v>2074.0740740740739</v>
      </c>
      <c r="F3" s="40">
        <f t="shared" ref="F3:F13" si="1">B3+E3</f>
        <v>7074.0740740740739</v>
      </c>
      <c r="G3" s="37"/>
    </row>
    <row r="4" spans="1:7" x14ac:dyDescent="0.3">
      <c r="A4" s="39">
        <v>45717</v>
      </c>
      <c r="B4" s="40"/>
      <c r="C4" s="40"/>
      <c r="D4" s="40">
        <v>25.44</v>
      </c>
      <c r="E4" s="40">
        <f t="shared" si="0"/>
        <v>0</v>
      </c>
      <c r="F4" s="40">
        <f t="shared" si="1"/>
        <v>0</v>
      </c>
      <c r="G4" s="37"/>
    </row>
    <row r="5" spans="1:7" x14ac:dyDescent="0.3">
      <c r="A5" s="39">
        <v>45748</v>
      </c>
      <c r="B5" s="40"/>
      <c r="C5" s="40"/>
      <c r="D5" s="40">
        <v>26.46</v>
      </c>
      <c r="E5" s="40">
        <f t="shared" si="0"/>
        <v>0</v>
      </c>
      <c r="F5" s="40">
        <f t="shared" si="1"/>
        <v>0</v>
      </c>
      <c r="G5" s="37"/>
    </row>
    <row r="6" spans="1:7" x14ac:dyDescent="0.3">
      <c r="A6" s="39">
        <v>45778</v>
      </c>
      <c r="B6" s="40"/>
      <c r="C6" s="40"/>
      <c r="D6" s="40">
        <v>26.46</v>
      </c>
      <c r="E6" s="40">
        <f t="shared" si="0"/>
        <v>0</v>
      </c>
      <c r="F6" s="40">
        <f t="shared" si="1"/>
        <v>0</v>
      </c>
      <c r="G6" s="37"/>
    </row>
    <row r="7" spans="1:7" x14ac:dyDescent="0.3">
      <c r="A7" s="39">
        <v>45809</v>
      </c>
      <c r="B7" s="40">
        <v>19863.37</v>
      </c>
      <c r="C7" s="40"/>
      <c r="D7" s="40">
        <v>26.46</v>
      </c>
      <c r="E7" s="40">
        <f t="shared" si="0"/>
        <v>0</v>
      </c>
      <c r="F7" s="40">
        <f t="shared" si="1"/>
        <v>19863.37</v>
      </c>
      <c r="G7" s="37"/>
    </row>
    <row r="8" spans="1:7" x14ac:dyDescent="0.3">
      <c r="A8" s="39">
        <v>45839</v>
      </c>
      <c r="B8" s="40"/>
      <c r="C8" s="40"/>
      <c r="D8" s="40">
        <v>26.46</v>
      </c>
      <c r="E8" s="40">
        <f t="shared" si="0"/>
        <v>0</v>
      </c>
      <c r="F8" s="40">
        <f t="shared" si="1"/>
        <v>0</v>
      </c>
      <c r="G8" s="37"/>
    </row>
    <row r="9" spans="1:7" x14ac:dyDescent="0.3">
      <c r="A9" s="39">
        <v>45870</v>
      </c>
      <c r="B9" s="40"/>
      <c r="C9" s="40"/>
      <c r="D9" s="40">
        <v>26.46</v>
      </c>
      <c r="E9" s="40">
        <f t="shared" si="0"/>
        <v>0</v>
      </c>
      <c r="F9" s="40">
        <f t="shared" si="1"/>
        <v>0</v>
      </c>
      <c r="G9" s="37"/>
    </row>
    <row r="10" spans="1:7" x14ac:dyDescent="0.3">
      <c r="A10" s="39">
        <v>45901</v>
      </c>
      <c r="B10" s="40"/>
      <c r="C10" s="41"/>
      <c r="D10" s="41">
        <v>26.46</v>
      </c>
      <c r="E10" s="41">
        <f t="shared" si="0"/>
        <v>0</v>
      </c>
      <c r="F10" s="41">
        <f t="shared" si="1"/>
        <v>0</v>
      </c>
      <c r="G10" s="53" t="s">
        <v>60</v>
      </c>
    </row>
    <row r="11" spans="1:7" x14ac:dyDescent="0.3">
      <c r="A11" s="39">
        <v>45931</v>
      </c>
      <c r="B11" s="40"/>
      <c r="C11" s="41"/>
      <c r="D11" s="41">
        <v>26.46</v>
      </c>
      <c r="E11" s="41">
        <f t="shared" si="0"/>
        <v>0</v>
      </c>
      <c r="F11" s="41">
        <f t="shared" si="1"/>
        <v>0</v>
      </c>
      <c r="G11" s="53" t="s">
        <v>60</v>
      </c>
    </row>
    <row r="12" spans="1:7" x14ac:dyDescent="0.3">
      <c r="A12" s="39">
        <v>45962</v>
      </c>
      <c r="B12" s="40"/>
      <c r="C12" s="41"/>
      <c r="D12" s="41">
        <v>26.46</v>
      </c>
      <c r="E12" s="41">
        <f t="shared" si="0"/>
        <v>0</v>
      </c>
      <c r="F12" s="41">
        <f t="shared" si="1"/>
        <v>0</v>
      </c>
      <c r="G12" s="53" t="s">
        <v>60</v>
      </c>
    </row>
    <row r="13" spans="1:7" x14ac:dyDescent="0.3">
      <c r="A13" s="39">
        <v>45992</v>
      </c>
      <c r="B13" s="40"/>
      <c r="C13" s="41"/>
      <c r="D13" s="41">
        <v>26.46</v>
      </c>
      <c r="E13" s="41">
        <f t="shared" si="0"/>
        <v>0</v>
      </c>
      <c r="F13" s="41">
        <f t="shared" si="1"/>
        <v>0</v>
      </c>
      <c r="G13" s="53" t="s">
        <v>60</v>
      </c>
    </row>
    <row r="14" spans="1:7" x14ac:dyDescent="0.3">
      <c r="A14" s="54" t="s">
        <v>55</v>
      </c>
      <c r="B14" s="55">
        <f>SUM(B2:B13)</f>
        <v>26863.37</v>
      </c>
      <c r="C14" s="55">
        <f>SUM(C2:C13)</f>
        <v>92000</v>
      </c>
      <c r="D14" s="55">
        <f>AVERAGE(D2:D13)</f>
        <v>26.418333333333333</v>
      </c>
      <c r="E14" s="55">
        <f>SUM(E2:E13)</f>
        <v>3435.647447750322</v>
      </c>
      <c r="F14" s="55">
        <f>SUM(F2:F13)</f>
        <v>30299.017447750321</v>
      </c>
      <c r="G14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C721-4C46-454F-A0B3-110F9C7B8A82}">
  <dimension ref="A1:N5"/>
  <sheetViews>
    <sheetView workbookViewId="0">
      <selection activeCell="D3" sqref="D3"/>
    </sheetView>
  </sheetViews>
  <sheetFormatPr defaultRowHeight="14.4" x14ac:dyDescent="0.3"/>
  <cols>
    <col min="1" max="1" width="20.44140625" bestFit="1" customWidth="1"/>
    <col min="2" max="14" width="11.77734375" customWidth="1"/>
  </cols>
  <sheetData>
    <row r="1" spans="1:14" x14ac:dyDescent="0.3">
      <c r="A1" s="38" t="s">
        <v>16</v>
      </c>
      <c r="B1" s="43">
        <v>45658</v>
      </c>
      <c r="C1" s="43">
        <v>45689</v>
      </c>
      <c r="D1" s="43">
        <v>45717</v>
      </c>
      <c r="E1" s="43">
        <v>45748</v>
      </c>
      <c r="F1" s="43">
        <v>45778</v>
      </c>
      <c r="G1" s="43">
        <v>45809</v>
      </c>
      <c r="H1" s="43">
        <v>45839</v>
      </c>
      <c r="I1" s="43">
        <v>45870</v>
      </c>
      <c r="J1" s="43">
        <v>45901</v>
      </c>
      <c r="K1" s="43">
        <v>45931</v>
      </c>
      <c r="L1" s="43">
        <v>45962</v>
      </c>
      <c r="M1" s="43">
        <v>45992</v>
      </c>
      <c r="N1" s="38" t="s">
        <v>55</v>
      </c>
    </row>
    <row r="2" spans="1:14" x14ac:dyDescent="0.3">
      <c r="A2" t="s">
        <v>57</v>
      </c>
      <c r="B2" s="40"/>
      <c r="C2" s="40"/>
      <c r="D2" s="40"/>
      <c r="E2" s="40"/>
      <c r="F2" s="40"/>
      <c r="G2" s="40">
        <v>12000</v>
      </c>
      <c r="H2" s="40"/>
      <c r="I2" s="40"/>
      <c r="J2" s="40"/>
      <c r="K2" s="40"/>
      <c r="L2" s="40"/>
      <c r="M2" s="40"/>
      <c r="N2" s="40">
        <f>SUM(B2:M2)</f>
        <v>12000</v>
      </c>
    </row>
    <row r="3" spans="1:14" x14ac:dyDescent="0.3">
      <c r="A3" t="s">
        <v>58</v>
      </c>
      <c r="B3" s="40"/>
      <c r="C3" s="40"/>
      <c r="D3" s="40"/>
      <c r="E3" s="40"/>
      <c r="F3" s="40"/>
      <c r="G3" s="40">
        <v>1020</v>
      </c>
      <c r="H3" s="40"/>
      <c r="I3" s="40"/>
      <c r="J3" s="40"/>
      <c r="K3" s="40"/>
      <c r="L3" s="40"/>
      <c r="M3" s="40"/>
      <c r="N3" s="40">
        <f t="shared" ref="N3:N4" si="0">SUM(B3:M3)</f>
        <v>1020</v>
      </c>
    </row>
    <row r="4" spans="1:14" x14ac:dyDescent="0.3">
      <c r="A4" t="s">
        <v>22</v>
      </c>
      <c r="B4" s="40"/>
      <c r="C4" s="40"/>
      <c r="D4" s="40"/>
      <c r="E4" s="40"/>
      <c r="F4" s="40"/>
      <c r="G4" s="40">
        <v>5500</v>
      </c>
      <c r="H4" s="40"/>
      <c r="I4" s="40"/>
      <c r="J4" s="40"/>
      <c r="K4" s="40"/>
      <c r="L4" s="40"/>
      <c r="M4" s="40"/>
      <c r="N4" s="40">
        <f t="shared" si="0"/>
        <v>5500</v>
      </c>
    </row>
    <row r="5" spans="1:14" x14ac:dyDescent="0.3"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>
        <f>SUM(N2:N4)</f>
        <v>18520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E583-D29A-452B-9E73-A7DD11828158}">
  <dimension ref="A1:O34"/>
  <sheetViews>
    <sheetView workbookViewId="0">
      <pane ySplit="2" topLeftCell="A3" activePane="bottomLeft" state="frozen"/>
      <selection pane="bottomLeft" activeCell="D32" sqref="D32"/>
    </sheetView>
  </sheetViews>
  <sheetFormatPr defaultColWidth="8.77734375" defaultRowHeight="14.4" x14ac:dyDescent="0.3"/>
  <cols>
    <col min="1" max="1" width="30" style="6" bestFit="1" customWidth="1"/>
    <col min="2" max="14" width="10.21875" style="6" customWidth="1"/>
    <col min="15" max="16384" width="8.77734375" style="6"/>
  </cols>
  <sheetData>
    <row r="1" spans="1:14" ht="23.4" x14ac:dyDescent="0.45">
      <c r="A1" s="15" t="s">
        <v>45</v>
      </c>
    </row>
    <row r="2" spans="1:14" x14ac:dyDescent="0.3">
      <c r="A2" s="7" t="s">
        <v>35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</row>
    <row r="3" spans="1:14" x14ac:dyDescent="0.3">
      <c r="A3" s="8" t="s">
        <v>30</v>
      </c>
    </row>
    <row r="4" spans="1:14" x14ac:dyDescent="0.3">
      <c r="A4" s="9" t="s">
        <v>28</v>
      </c>
      <c r="B4" s="10">
        <v>5000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">
        <f>SUM(B4:M4)</f>
        <v>5000</v>
      </c>
    </row>
    <row r="5" spans="1:14" x14ac:dyDescent="0.3">
      <c r="A5" s="9" t="s">
        <v>29</v>
      </c>
      <c r="B5" s="11">
        <v>6000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2">
        <f>SUM(B5:M5)</f>
        <v>6000</v>
      </c>
    </row>
    <row r="6" spans="1:14" x14ac:dyDescent="0.3">
      <c r="A6" s="8" t="s">
        <v>32</v>
      </c>
      <c r="B6" s="3">
        <f>SUM(B4:B5)</f>
        <v>11000</v>
      </c>
      <c r="C6" s="3">
        <f t="shared" ref="C6:M6" si="0">SUM(C4:C5)</f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>SUM(B6:M6)</f>
        <v>11000</v>
      </c>
    </row>
    <row r="7" spans="1:14" x14ac:dyDescent="0.3">
      <c r="A7" s="8" t="s">
        <v>31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3">
      <c r="A8" s="9" t="s">
        <v>28</v>
      </c>
      <c r="B8" s="1">
        <f>B4*(100/115)</f>
        <v>4347.826086956522</v>
      </c>
      <c r="C8" s="1">
        <f t="shared" ref="C8:M8" si="1">C4*(100/115)</f>
        <v>0</v>
      </c>
      <c r="D8" s="1">
        <f t="shared" si="1"/>
        <v>0</v>
      </c>
      <c r="E8" s="1">
        <f t="shared" si="1"/>
        <v>0</v>
      </c>
      <c r="F8" s="1">
        <f t="shared" si="1"/>
        <v>0</v>
      </c>
      <c r="G8" s="1">
        <f t="shared" si="1"/>
        <v>0</v>
      </c>
      <c r="H8" s="1">
        <f t="shared" si="1"/>
        <v>0</v>
      </c>
      <c r="I8" s="1">
        <f t="shared" si="1"/>
        <v>0</v>
      </c>
      <c r="J8" s="1">
        <f t="shared" si="1"/>
        <v>0</v>
      </c>
      <c r="K8" s="1">
        <f t="shared" si="1"/>
        <v>0</v>
      </c>
      <c r="L8" s="1">
        <f t="shared" si="1"/>
        <v>0</v>
      </c>
      <c r="M8" s="1">
        <f t="shared" si="1"/>
        <v>0</v>
      </c>
      <c r="N8" s="1">
        <f>SUM(B8:M8)</f>
        <v>4347.826086956522</v>
      </c>
    </row>
    <row r="9" spans="1:14" x14ac:dyDescent="0.3">
      <c r="A9" s="9" t="s">
        <v>29</v>
      </c>
      <c r="B9" s="2">
        <f>B5*(100/115)</f>
        <v>5217.391304347826</v>
      </c>
      <c r="C9" s="2">
        <f t="shared" ref="C9:M9" si="2">C5*(100/115)</f>
        <v>0</v>
      </c>
      <c r="D9" s="2">
        <f t="shared" si="2"/>
        <v>0</v>
      </c>
      <c r="E9" s="2">
        <f t="shared" si="2"/>
        <v>0</v>
      </c>
      <c r="F9" s="2">
        <f t="shared" si="2"/>
        <v>0</v>
      </c>
      <c r="G9" s="2">
        <f t="shared" si="2"/>
        <v>0</v>
      </c>
      <c r="H9" s="2">
        <f t="shared" si="2"/>
        <v>0</v>
      </c>
      <c r="I9" s="2">
        <f t="shared" si="2"/>
        <v>0</v>
      </c>
      <c r="J9" s="2">
        <f t="shared" si="2"/>
        <v>0</v>
      </c>
      <c r="K9" s="2">
        <f t="shared" si="2"/>
        <v>0</v>
      </c>
      <c r="L9" s="2">
        <f t="shared" si="2"/>
        <v>0</v>
      </c>
      <c r="M9" s="2">
        <f t="shared" si="2"/>
        <v>0</v>
      </c>
      <c r="N9" s="2">
        <f>SUM(B9:M9)</f>
        <v>5217.391304347826</v>
      </c>
    </row>
    <row r="10" spans="1:14" x14ac:dyDescent="0.3">
      <c r="A10" s="8" t="s">
        <v>33</v>
      </c>
      <c r="B10" s="3">
        <f>SUM(B8:B9)</f>
        <v>9565.217391304348</v>
      </c>
      <c r="C10" s="3">
        <f t="shared" ref="C10:M10" si="3">SUM(C8:C9)</f>
        <v>0</v>
      </c>
      <c r="D10" s="3">
        <f t="shared" si="3"/>
        <v>0</v>
      </c>
      <c r="E10" s="3">
        <f t="shared" si="3"/>
        <v>0</v>
      </c>
      <c r="F10" s="3">
        <f t="shared" si="3"/>
        <v>0</v>
      </c>
      <c r="G10" s="3">
        <f t="shared" si="3"/>
        <v>0</v>
      </c>
      <c r="H10" s="3">
        <f t="shared" si="3"/>
        <v>0</v>
      </c>
      <c r="I10" s="3">
        <f t="shared" si="3"/>
        <v>0</v>
      </c>
      <c r="J10" s="3">
        <f t="shared" si="3"/>
        <v>0</v>
      </c>
      <c r="K10" s="3">
        <f t="shared" si="3"/>
        <v>0</v>
      </c>
      <c r="L10" s="3">
        <f t="shared" si="3"/>
        <v>0</v>
      </c>
      <c r="M10" s="3">
        <f t="shared" si="3"/>
        <v>0</v>
      </c>
      <c r="N10" s="3">
        <f>SUM(B10:M10)</f>
        <v>9565.217391304348</v>
      </c>
    </row>
    <row r="11" spans="1:14" x14ac:dyDescent="0.3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4" x14ac:dyDescent="0.3">
      <c r="A12" s="12" t="s">
        <v>34</v>
      </c>
      <c r="B12" s="4">
        <f>B6-B10</f>
        <v>1434.782608695652</v>
      </c>
      <c r="C12" s="4">
        <f t="shared" ref="C12:M12" si="4">C6-C10</f>
        <v>0</v>
      </c>
      <c r="D12" s="4">
        <f t="shared" si="4"/>
        <v>0</v>
      </c>
      <c r="E12" s="4">
        <f t="shared" si="4"/>
        <v>0</v>
      </c>
      <c r="F12" s="4">
        <f t="shared" si="4"/>
        <v>0</v>
      </c>
      <c r="G12" s="4">
        <f t="shared" si="4"/>
        <v>0</v>
      </c>
      <c r="H12" s="4">
        <f t="shared" si="4"/>
        <v>0</v>
      </c>
      <c r="I12" s="4">
        <f t="shared" si="4"/>
        <v>0</v>
      </c>
      <c r="J12" s="4">
        <f t="shared" si="4"/>
        <v>0</v>
      </c>
      <c r="K12" s="4">
        <f t="shared" si="4"/>
        <v>0</v>
      </c>
      <c r="L12" s="4">
        <f t="shared" si="4"/>
        <v>0</v>
      </c>
      <c r="M12" s="4">
        <f t="shared" si="4"/>
        <v>0</v>
      </c>
      <c r="N12" s="4">
        <f>SUM(B12:M12)</f>
        <v>1434.782608695652</v>
      </c>
    </row>
    <row r="13" spans="1:14" x14ac:dyDescent="0.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4" x14ac:dyDescent="0.3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4" x14ac:dyDescent="0.3">
      <c r="A15" s="8" t="s">
        <v>36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4" x14ac:dyDescent="0.3">
      <c r="A16" s="9" t="s">
        <v>37</v>
      </c>
      <c r="B16" s="10">
        <v>4000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">
        <f>SUM(B16:M16)</f>
        <v>4000</v>
      </c>
    </row>
    <row r="17" spans="1:15" x14ac:dyDescent="0.3">
      <c r="A17" s="13" t="s">
        <v>38</v>
      </c>
      <c r="B17" s="11">
        <v>1650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2">
        <f>SUM(B17:M17)</f>
        <v>1650</v>
      </c>
    </row>
    <row r="18" spans="1:15" x14ac:dyDescent="0.3">
      <c r="B18" s="1">
        <f>SUM(B16:B17)</f>
        <v>5650</v>
      </c>
      <c r="C18" s="1">
        <f t="shared" ref="C18:M18" si="5">SUM(C16:C17)</f>
        <v>0</v>
      </c>
      <c r="D18" s="1">
        <f t="shared" si="5"/>
        <v>0</v>
      </c>
      <c r="E18" s="1">
        <f t="shared" si="5"/>
        <v>0</v>
      </c>
      <c r="F18" s="1">
        <f t="shared" si="5"/>
        <v>0</v>
      </c>
      <c r="G18" s="1">
        <f t="shared" si="5"/>
        <v>0</v>
      </c>
      <c r="H18" s="1">
        <f t="shared" si="5"/>
        <v>0</v>
      </c>
      <c r="I18" s="1">
        <f t="shared" si="5"/>
        <v>0</v>
      </c>
      <c r="J18" s="1">
        <f t="shared" si="5"/>
        <v>0</v>
      </c>
      <c r="K18" s="1">
        <f t="shared" si="5"/>
        <v>0</v>
      </c>
      <c r="L18" s="1">
        <f t="shared" si="5"/>
        <v>0</v>
      </c>
      <c r="M18" s="1">
        <f t="shared" si="5"/>
        <v>0</v>
      </c>
      <c r="N18" s="1">
        <f>SUM(N16:N17)</f>
        <v>5650</v>
      </c>
    </row>
    <row r="19" spans="1:15" x14ac:dyDescent="0.3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5" x14ac:dyDescent="0.3">
      <c r="A20" s="8" t="s">
        <v>39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5" x14ac:dyDescent="0.3">
      <c r="A21" s="9" t="s">
        <v>40</v>
      </c>
      <c r="B21" s="10">
        <v>465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">
        <f>SUM(B21:M21)</f>
        <v>465</v>
      </c>
    </row>
    <row r="22" spans="1:15" x14ac:dyDescent="0.3">
      <c r="A22" s="13" t="s">
        <v>41</v>
      </c>
      <c r="B22" s="11">
        <v>215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2">
        <f>SUM(B22:M22)</f>
        <v>215</v>
      </c>
    </row>
    <row r="23" spans="1:15" x14ac:dyDescent="0.3">
      <c r="A23" s="6" t="s">
        <v>42</v>
      </c>
      <c r="B23" s="1">
        <f>SUM(B21:B22)</f>
        <v>680</v>
      </c>
      <c r="C23" s="1">
        <f t="shared" ref="C23:M23" si="6">SUM(C21:C22)</f>
        <v>0</v>
      </c>
      <c r="D23" s="1">
        <f t="shared" si="6"/>
        <v>0</v>
      </c>
      <c r="E23" s="1">
        <f t="shared" si="6"/>
        <v>0</v>
      </c>
      <c r="F23" s="1">
        <f t="shared" si="6"/>
        <v>0</v>
      </c>
      <c r="G23" s="1">
        <f t="shared" si="6"/>
        <v>0</v>
      </c>
      <c r="H23" s="1">
        <f t="shared" si="6"/>
        <v>0</v>
      </c>
      <c r="I23" s="1">
        <f t="shared" si="6"/>
        <v>0</v>
      </c>
      <c r="J23" s="1">
        <f t="shared" si="6"/>
        <v>0</v>
      </c>
      <c r="K23" s="1">
        <f t="shared" si="6"/>
        <v>0</v>
      </c>
      <c r="L23" s="1">
        <f t="shared" si="6"/>
        <v>0</v>
      </c>
      <c r="M23" s="1">
        <f t="shared" si="6"/>
        <v>0</v>
      </c>
      <c r="N23" s="1">
        <f>SUM(N21:N22)</f>
        <v>680</v>
      </c>
    </row>
    <row r="24" spans="1:15" x14ac:dyDescent="0.3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5" x14ac:dyDescent="0.3">
      <c r="A25" s="7" t="s">
        <v>43</v>
      </c>
      <c r="B25" s="4">
        <f>B23</f>
        <v>680</v>
      </c>
      <c r="C25" s="4">
        <f t="shared" ref="C25:N25" si="7">C23</f>
        <v>0</v>
      </c>
      <c r="D25" s="4">
        <f t="shared" si="7"/>
        <v>0</v>
      </c>
      <c r="E25" s="4">
        <f t="shared" si="7"/>
        <v>0</v>
      </c>
      <c r="F25" s="4">
        <f t="shared" si="7"/>
        <v>0</v>
      </c>
      <c r="G25" s="4">
        <f t="shared" si="7"/>
        <v>0</v>
      </c>
      <c r="H25" s="4">
        <f t="shared" si="7"/>
        <v>0</v>
      </c>
      <c r="I25" s="4">
        <f t="shared" si="7"/>
        <v>0</v>
      </c>
      <c r="J25" s="4">
        <f t="shared" si="7"/>
        <v>0</v>
      </c>
      <c r="K25" s="4">
        <f t="shared" si="7"/>
        <v>0</v>
      </c>
      <c r="L25" s="4">
        <f t="shared" si="7"/>
        <v>0</v>
      </c>
      <c r="M25" s="4">
        <f t="shared" si="7"/>
        <v>0</v>
      </c>
      <c r="N25" s="4">
        <f t="shared" si="7"/>
        <v>680</v>
      </c>
    </row>
    <row r="26" spans="1:15" x14ac:dyDescent="0.3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5" x14ac:dyDescent="0.3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5" x14ac:dyDescent="0.3">
      <c r="A28" s="14" t="s">
        <v>44</v>
      </c>
      <c r="B28" s="5">
        <f>B12-B25</f>
        <v>754.78260869565202</v>
      </c>
      <c r="C28" s="5">
        <f t="shared" ref="C28:N28" si="8">C12-C25</f>
        <v>0</v>
      </c>
      <c r="D28" s="5">
        <f t="shared" si="8"/>
        <v>0</v>
      </c>
      <c r="E28" s="5">
        <f t="shared" si="8"/>
        <v>0</v>
      </c>
      <c r="F28" s="5">
        <f t="shared" si="8"/>
        <v>0</v>
      </c>
      <c r="G28" s="5">
        <f t="shared" si="8"/>
        <v>0</v>
      </c>
      <c r="H28" s="5">
        <f t="shared" si="8"/>
        <v>0</v>
      </c>
      <c r="I28" s="5">
        <f t="shared" si="8"/>
        <v>0</v>
      </c>
      <c r="J28" s="5">
        <f t="shared" si="8"/>
        <v>0</v>
      </c>
      <c r="K28" s="5">
        <f t="shared" si="8"/>
        <v>0</v>
      </c>
      <c r="L28" s="5">
        <f t="shared" si="8"/>
        <v>0</v>
      </c>
      <c r="M28" s="5">
        <f t="shared" si="8"/>
        <v>0</v>
      </c>
      <c r="N28" s="5">
        <f t="shared" si="8"/>
        <v>754.78260869565202</v>
      </c>
    </row>
    <row r="29" spans="1:15" x14ac:dyDescent="0.3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5" x14ac:dyDescent="0.3">
      <c r="A30" s="8" t="s">
        <v>46</v>
      </c>
      <c r="B30" s="17"/>
      <c r="C30" s="17">
        <f>B28</f>
        <v>754.78260869565202</v>
      </c>
      <c r="D30" s="17">
        <f t="shared" ref="D30:N30" si="9">C28</f>
        <v>0</v>
      </c>
      <c r="E30" s="17">
        <f t="shared" si="9"/>
        <v>0</v>
      </c>
      <c r="F30" s="17">
        <f t="shared" si="9"/>
        <v>0</v>
      </c>
      <c r="G30" s="17">
        <f t="shared" si="9"/>
        <v>0</v>
      </c>
      <c r="H30" s="17">
        <f t="shared" si="9"/>
        <v>0</v>
      </c>
      <c r="I30" s="17">
        <f t="shared" si="9"/>
        <v>0</v>
      </c>
      <c r="J30" s="17">
        <f t="shared" si="9"/>
        <v>0</v>
      </c>
      <c r="K30" s="17">
        <f t="shared" si="9"/>
        <v>0</v>
      </c>
      <c r="L30" s="17">
        <f t="shared" si="9"/>
        <v>0</v>
      </c>
      <c r="M30" s="17">
        <f t="shared" si="9"/>
        <v>0</v>
      </c>
      <c r="N30" s="17">
        <f t="shared" si="9"/>
        <v>0</v>
      </c>
      <c r="O30" s="10"/>
    </row>
    <row r="31" spans="1:15" x14ac:dyDescent="0.3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5" x14ac:dyDescent="0.3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2:13" x14ac:dyDescent="0.3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2:13" x14ac:dyDescent="0.3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</sheetData>
  <sheetProtection algorithmName="SHA-512" hashValue="0sthU9zHHvi+3sRzKZRcUdTrRCOFE4NfkNIZhK92mWNADrf48a6xXX/A1fCPMRxJyPshxc8J4sBOyzzp3c5PUQ==" saltValue="TQPBYRu3QUk2TcONNd5aaA==" spinCount="100000" sheet="1" objects="1" scenarios="1"/>
  <protectedRanges>
    <protectedRange algorithmName="SHA-512" hashValue="LVluDkb650G4uFY0ZxSCNUrKtJrfqoY1eDUUaW+XoYetztTSv9/Q4pWffmvVJe3ov8f2P3eZlvvHj9LuPx0WFQ==" saltValue="HGTkCmGB/ypr2QyVzr2+Bg==" spinCount="100000" sqref="N4:N5 B6:N6 B8:N10 B12:N12 N16:N17 B18:N18 N21:N22 B23:N23 B25:N25 B28:N28" name="Range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Tax Calculator</vt:lpstr>
      <vt:lpstr>2025 Sales</vt:lpstr>
      <vt:lpstr>Operating Expenses 2025</vt:lpstr>
      <vt:lpstr>VAT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wisdom muzambi</dc:creator>
  <cp:lastModifiedBy>wisdom muzambi</cp:lastModifiedBy>
  <dcterms:created xsi:type="dcterms:W3CDTF">2025-03-12T09:13:53Z</dcterms:created>
  <dcterms:modified xsi:type="dcterms:W3CDTF">2026-03-16T09:44:29Z</dcterms:modified>
</cp:coreProperties>
</file>