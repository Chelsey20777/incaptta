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e87fe75bd2534e/Desktop/Crystal Paints Payrol/"/>
    </mc:Choice>
  </mc:AlternateContent>
  <xr:revisionPtr revIDLastSave="17" documentId="8_{DD293EF7-5064-49D2-B260-E11AC748BFA4}" xr6:coauthVersionLast="47" xr6:coauthVersionMax="47" xr10:uidLastSave="{AE60814C-4843-46FA-9430-3F0F53789C6D}"/>
  <bookViews>
    <workbookView xWindow="-108" yWindow="-108" windowWidth="23256" windowHeight="12456" xr2:uid="{4B9A52E5-318A-4787-B47E-0EA63D4FBEDA}"/>
  </bookViews>
  <sheets>
    <sheet name="Payroll Calculations " sheetId="1" r:id="rId1"/>
    <sheet name="Tax Tables" sheetId="2" r:id="rId2"/>
    <sheet name="Payroll Journa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D4" i="3" s="1"/>
  <c r="G30" i="1"/>
  <c r="J10" i="1"/>
  <c r="K10" i="1" s="1"/>
  <c r="J18" i="1"/>
  <c r="K18" i="1" s="1"/>
  <c r="J19" i="1"/>
  <c r="K19" i="1" s="1"/>
  <c r="H20" i="1"/>
  <c r="J26" i="1"/>
  <c r="K26" i="1" s="1"/>
  <c r="J27" i="1"/>
  <c r="K27" i="1" s="1"/>
  <c r="J28" i="1"/>
  <c r="K28" i="1" s="1"/>
  <c r="L29" i="1"/>
  <c r="M29" i="1" s="1"/>
  <c r="I29" i="1"/>
  <c r="J29" i="1"/>
  <c r="K29" i="1" s="1"/>
  <c r="J2" i="1"/>
  <c r="K2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H8" i="1"/>
  <c r="H9" i="1"/>
  <c r="H10" i="1"/>
  <c r="H11" i="1"/>
  <c r="H12" i="1"/>
  <c r="H13" i="1"/>
  <c r="H14" i="1"/>
  <c r="H15" i="1"/>
  <c r="H16" i="1"/>
  <c r="H17" i="1"/>
  <c r="H18" i="1"/>
  <c r="H19" i="1"/>
  <c r="H21" i="1"/>
  <c r="H22" i="1"/>
  <c r="H23" i="1"/>
  <c r="H24" i="1"/>
  <c r="H25" i="1"/>
  <c r="H26" i="1"/>
  <c r="H27" i="1"/>
  <c r="I8" i="1"/>
  <c r="I9" i="1"/>
  <c r="I11" i="1"/>
  <c r="I12" i="1"/>
  <c r="I13" i="1"/>
  <c r="I14" i="1"/>
  <c r="I15" i="1"/>
  <c r="I16" i="1"/>
  <c r="I17" i="1"/>
  <c r="I19" i="1"/>
  <c r="I20" i="1"/>
  <c r="I21" i="1"/>
  <c r="I22" i="1"/>
  <c r="I23" i="1"/>
  <c r="I24" i="1"/>
  <c r="I25" i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H3" i="1"/>
  <c r="H4" i="1"/>
  <c r="H5" i="1"/>
  <c r="H6" i="1"/>
  <c r="H7" i="1"/>
  <c r="L3" i="1"/>
  <c r="M3" i="1" s="1"/>
  <c r="L4" i="1"/>
  <c r="M4" i="1" s="1"/>
  <c r="L5" i="1"/>
  <c r="M5" i="1" s="1"/>
  <c r="L6" i="1"/>
  <c r="M6" i="1" s="1"/>
  <c r="L7" i="1"/>
  <c r="M7" i="1" s="1"/>
  <c r="I3" i="1"/>
  <c r="I4" i="1"/>
  <c r="I5" i="1"/>
  <c r="I6" i="1"/>
  <c r="I7" i="1"/>
  <c r="I27" i="1" l="1"/>
  <c r="I28" i="1"/>
  <c r="I26" i="1"/>
  <c r="N26" i="1" s="1"/>
  <c r="I18" i="1"/>
  <c r="I10" i="1"/>
  <c r="N10" i="1" s="1"/>
  <c r="H29" i="1"/>
  <c r="H28" i="1"/>
  <c r="E30" i="1"/>
  <c r="D3" i="3" s="1"/>
  <c r="D11" i="3" s="1"/>
  <c r="L28" i="1"/>
  <c r="M28" i="1" s="1"/>
  <c r="N29" i="1"/>
  <c r="L2" i="1"/>
  <c r="M2" i="1" s="1"/>
  <c r="I2" i="1"/>
  <c r="H2" i="1"/>
  <c r="N13" i="1"/>
  <c r="N24" i="1"/>
  <c r="N18" i="1"/>
  <c r="N21" i="1"/>
  <c r="N20" i="1"/>
  <c r="N12" i="1"/>
  <c r="N19" i="1"/>
  <c r="N22" i="1"/>
  <c r="N14" i="1"/>
  <c r="N11" i="1"/>
  <c r="N27" i="1"/>
  <c r="N15" i="1"/>
  <c r="N16" i="1"/>
  <c r="N8" i="1"/>
  <c r="N23" i="1"/>
  <c r="N9" i="1"/>
  <c r="N17" i="1"/>
  <c r="N25" i="1"/>
  <c r="J30" i="1"/>
  <c r="D17" i="3" s="1"/>
  <c r="K30" i="1"/>
  <c r="E6" i="3" s="1"/>
  <c r="N7" i="1"/>
  <c r="N3" i="1"/>
  <c r="N4" i="1"/>
  <c r="N6" i="1"/>
  <c r="N5" i="1"/>
  <c r="O10" i="1" l="1"/>
  <c r="P10" i="1" s="1"/>
  <c r="O18" i="1"/>
  <c r="P18" i="1" s="1"/>
  <c r="O24" i="1"/>
  <c r="P24" i="1" s="1"/>
  <c r="O14" i="1"/>
  <c r="P14" i="1" s="1"/>
  <c r="Q14" i="1" s="1"/>
  <c r="R14" i="1" s="1"/>
  <c r="S14" i="1" s="1"/>
  <c r="U14" i="1" s="1"/>
  <c r="W14" i="1" s="1"/>
  <c r="O13" i="1"/>
  <c r="P13" i="1" s="1"/>
  <c r="Q13" i="1" s="1"/>
  <c r="R13" i="1" s="1"/>
  <c r="O22" i="1"/>
  <c r="P22" i="1" s="1"/>
  <c r="Q22" i="1" s="1"/>
  <c r="O27" i="1"/>
  <c r="P27" i="1" s="1"/>
  <c r="O23" i="1"/>
  <c r="P23" i="1" s="1"/>
  <c r="O19" i="1"/>
  <c r="P19" i="1" s="1"/>
  <c r="O8" i="1"/>
  <c r="P8" i="1" s="1"/>
  <c r="O12" i="1"/>
  <c r="P12" i="1" s="1"/>
  <c r="O11" i="1"/>
  <c r="P11" i="1" s="1"/>
  <c r="Q11" i="1" s="1"/>
  <c r="O16" i="1"/>
  <c r="P16" i="1" s="1"/>
  <c r="O20" i="1"/>
  <c r="P20" i="1" s="1"/>
  <c r="Q20" i="1" s="1"/>
  <c r="R20" i="1" s="1"/>
  <c r="T20" i="1" s="1"/>
  <c r="M30" i="1"/>
  <c r="E7" i="3" s="1"/>
  <c r="O26" i="1"/>
  <c r="P26" i="1" s="1"/>
  <c r="O15" i="1"/>
  <c r="P15" i="1" s="1"/>
  <c r="O21" i="1"/>
  <c r="P21" i="1" s="1"/>
  <c r="Q21" i="1" s="1"/>
  <c r="R21" i="1" s="1"/>
  <c r="S21" i="1" s="1"/>
  <c r="U21" i="1" s="1"/>
  <c r="W21" i="1" s="1"/>
  <c r="O29" i="1"/>
  <c r="P29" i="1" s="1"/>
  <c r="L30" i="1"/>
  <c r="D18" i="3" s="1"/>
  <c r="H30" i="1"/>
  <c r="D19" i="3" s="1"/>
  <c r="I30" i="1"/>
  <c r="E5" i="3" s="1"/>
  <c r="N28" i="1"/>
  <c r="N2" i="1"/>
  <c r="O9" i="1"/>
  <c r="P9" i="1" s="1"/>
  <c r="Q18" i="1"/>
  <c r="O25" i="1"/>
  <c r="P25" i="1" s="1"/>
  <c r="Q12" i="1"/>
  <c r="O17" i="1"/>
  <c r="P17" i="1" s="1"/>
  <c r="Q15" i="1"/>
  <c r="O4" i="1"/>
  <c r="P4" i="1" s="1"/>
  <c r="O7" i="1"/>
  <c r="P7" i="1" s="1"/>
  <c r="O3" i="1"/>
  <c r="P3" i="1" s="1"/>
  <c r="O5" i="1"/>
  <c r="P5" i="1" s="1"/>
  <c r="O6" i="1"/>
  <c r="P6" i="1" s="1"/>
  <c r="O28" i="1" l="1"/>
  <c r="P28" i="1" s="1"/>
  <c r="Q23" i="1"/>
  <c r="R23" i="1" s="1"/>
  <c r="S23" i="1" s="1"/>
  <c r="U23" i="1" s="1"/>
  <c r="W23" i="1" s="1"/>
  <c r="S13" i="1"/>
  <c r="U13" i="1" s="1"/>
  <c r="W13" i="1" s="1"/>
  <c r="T13" i="1"/>
  <c r="Q26" i="1"/>
  <c r="R26" i="1" s="1"/>
  <c r="S26" i="1" s="1"/>
  <c r="U26" i="1" s="1"/>
  <c r="W26" i="1" s="1"/>
  <c r="Q29" i="1"/>
  <c r="R29" i="1" s="1"/>
  <c r="S29" i="1" s="1"/>
  <c r="U29" i="1" s="1"/>
  <c r="W29" i="1" s="1"/>
  <c r="Q16" i="1"/>
  <c r="R16" i="1" s="1"/>
  <c r="S16" i="1" s="1"/>
  <c r="U16" i="1" s="1"/>
  <c r="W16" i="1" s="1"/>
  <c r="Q27" i="1"/>
  <c r="R27" i="1" s="1"/>
  <c r="S27" i="1" s="1"/>
  <c r="U27" i="1" s="1"/>
  <c r="W27" i="1" s="1"/>
  <c r="Q8" i="1"/>
  <c r="R8" i="1" s="1"/>
  <c r="T8" i="1" s="1"/>
  <c r="Q24" i="1"/>
  <c r="R24" i="1" s="1"/>
  <c r="T24" i="1" s="1"/>
  <c r="T21" i="1"/>
  <c r="Q10" i="1"/>
  <c r="R10" i="1" s="1"/>
  <c r="T10" i="1" s="1"/>
  <c r="Q19" i="1"/>
  <c r="R19" i="1" s="1"/>
  <c r="T19" i="1" s="1"/>
  <c r="N30" i="1"/>
  <c r="O2" i="1"/>
  <c r="P2" i="1" s="1"/>
  <c r="Q9" i="1"/>
  <c r="R22" i="1"/>
  <c r="S22" i="1" s="1"/>
  <c r="U22" i="1" s="1"/>
  <c r="W22" i="1" s="1"/>
  <c r="Q17" i="1"/>
  <c r="R17" i="1" s="1"/>
  <c r="T17" i="1" s="1"/>
  <c r="R18" i="1"/>
  <c r="S18" i="1" s="1"/>
  <c r="U18" i="1" s="1"/>
  <c r="W18" i="1" s="1"/>
  <c r="R12" i="1"/>
  <c r="T12" i="1" s="1"/>
  <c r="R11" i="1"/>
  <c r="S11" i="1" s="1"/>
  <c r="U11" i="1" s="1"/>
  <c r="W11" i="1" s="1"/>
  <c r="Q25" i="1"/>
  <c r="T14" i="1"/>
  <c r="R15" i="1"/>
  <c r="T15" i="1" s="1"/>
  <c r="S20" i="1"/>
  <c r="U20" i="1" s="1"/>
  <c r="W20" i="1" s="1"/>
  <c r="Q5" i="1"/>
  <c r="Q3" i="1"/>
  <c r="Q7" i="1"/>
  <c r="Q6" i="1"/>
  <c r="Q4" i="1"/>
  <c r="S24" i="1" l="1"/>
  <c r="U24" i="1" s="1"/>
  <c r="W24" i="1" s="1"/>
  <c r="Q28" i="1"/>
  <c r="R28" i="1" s="1"/>
  <c r="T28" i="1" s="1"/>
  <c r="S8" i="1"/>
  <c r="U8" i="1" s="1"/>
  <c r="W8" i="1" s="1"/>
  <c r="T16" i="1"/>
  <c r="S10" i="1"/>
  <c r="U10" i="1" s="1"/>
  <c r="W10" i="1" s="1"/>
  <c r="S19" i="1"/>
  <c r="U19" i="1" s="1"/>
  <c r="W19" i="1" s="1"/>
  <c r="Q2" i="1"/>
  <c r="Q30" i="1" s="1"/>
  <c r="T29" i="1"/>
  <c r="S28" i="1"/>
  <c r="U28" i="1" s="1"/>
  <c r="W28" i="1" s="1"/>
  <c r="S12" i="1"/>
  <c r="U12" i="1" s="1"/>
  <c r="W12" i="1" s="1"/>
  <c r="T27" i="1"/>
  <c r="R9" i="1"/>
  <c r="S9" i="1" s="1"/>
  <c r="U9" i="1" s="1"/>
  <c r="W9" i="1" s="1"/>
  <c r="T22" i="1"/>
  <c r="T18" i="1"/>
  <c r="S17" i="1"/>
  <c r="U17" i="1" s="1"/>
  <c r="W17" i="1" s="1"/>
  <c r="T26" i="1"/>
  <c r="T23" i="1"/>
  <c r="T11" i="1"/>
  <c r="S15" i="1"/>
  <c r="U15" i="1" s="1"/>
  <c r="W15" i="1" s="1"/>
  <c r="R25" i="1"/>
  <c r="T25" i="1" s="1"/>
  <c r="R7" i="1"/>
  <c r="S7" i="1" s="1"/>
  <c r="U7" i="1" s="1"/>
  <c r="W7" i="1" s="1"/>
  <c r="R4" i="1"/>
  <c r="T4" i="1" s="1"/>
  <c r="R6" i="1"/>
  <c r="S6" i="1" s="1"/>
  <c r="U6" i="1" s="1"/>
  <c r="W6" i="1" s="1"/>
  <c r="R3" i="1"/>
  <c r="S3" i="1" s="1"/>
  <c r="U3" i="1" s="1"/>
  <c r="W3" i="1" s="1"/>
  <c r="R5" i="1"/>
  <c r="S5" i="1" s="1"/>
  <c r="U5" i="1" s="1"/>
  <c r="W5" i="1" s="1"/>
  <c r="R2" i="1" l="1"/>
  <c r="T2" i="1" s="1"/>
  <c r="T9" i="1"/>
  <c r="T5" i="1"/>
  <c r="T3" i="1"/>
  <c r="S25" i="1"/>
  <c r="U25" i="1" s="1"/>
  <c r="W25" i="1" s="1"/>
  <c r="T6" i="1"/>
  <c r="T7" i="1"/>
  <c r="S4" i="1"/>
  <c r="U4" i="1" s="1"/>
  <c r="W4" i="1" s="1"/>
  <c r="E8" i="3"/>
  <c r="D15" i="3"/>
  <c r="R30" i="1" l="1"/>
  <c r="E9" i="3" s="1"/>
  <c r="S2" i="1"/>
  <c r="T30" i="1"/>
  <c r="U2" i="1" l="1"/>
  <c r="W2" i="1" s="1"/>
  <c r="W30" i="1" s="1"/>
  <c r="S30" i="1"/>
  <c r="D16" i="3"/>
  <c r="D20" i="3" s="1"/>
  <c r="U30" i="1" l="1"/>
  <c r="E10" i="3" s="1"/>
  <c r="E11" i="3" s="1"/>
</calcChain>
</file>

<file path=xl/sharedStrings.xml><?xml version="1.0" encoding="utf-8"?>
<sst xmlns="http://schemas.openxmlformats.org/spreadsheetml/2006/main" count="47" uniqueCount="30">
  <si>
    <t xml:space="preserve">Name </t>
  </si>
  <si>
    <t>Taxable Income</t>
  </si>
  <si>
    <t>Tax Rate</t>
  </si>
  <si>
    <t>Deduction</t>
  </si>
  <si>
    <t>PAYE</t>
  </si>
  <si>
    <t>AIDS Levy</t>
  </si>
  <si>
    <t>Net Pay</t>
  </si>
  <si>
    <t>USD Tax Tables 2025</t>
  </si>
  <si>
    <t>PAYE ZIMRA</t>
  </si>
  <si>
    <t>NSSA</t>
  </si>
  <si>
    <t xml:space="preserve">NEC </t>
  </si>
  <si>
    <t>Trade Union</t>
  </si>
  <si>
    <t>Gross Pay</t>
  </si>
  <si>
    <t>NEC</t>
  </si>
  <si>
    <t>NEC Employee</t>
  </si>
  <si>
    <t>NSSA Employee</t>
  </si>
  <si>
    <t>WCIF</t>
  </si>
  <si>
    <t>Debit</t>
  </si>
  <si>
    <t>Credit</t>
  </si>
  <si>
    <t>Statutory Payments</t>
  </si>
  <si>
    <t>Total Deductions</t>
  </si>
  <si>
    <t>Wisdom Muzambi</t>
  </si>
  <si>
    <t xml:space="preserve">ID Number </t>
  </si>
  <si>
    <t>TIN</t>
  </si>
  <si>
    <t>NEC Eligibility</t>
  </si>
  <si>
    <t>Bonus</t>
  </si>
  <si>
    <t>Yearly Bonus</t>
  </si>
  <si>
    <t>Advance Deductions</t>
  </si>
  <si>
    <t>Net Pay after Deductions</t>
  </si>
  <si>
    <t>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</si>
</sst>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/>
    <xf numFmtId="164" fontId="0" fillId="0" borderId="0" xfId="0" applyNumberFormat="1"/>
    <xf numFmtId="9" fontId="0" fillId="0" borderId="0" xfId="0" applyNumberFormat="1"/>
    <xf numFmtId="9" fontId="0" fillId="0" borderId="0" xfId="1" applyFont="1"/>
    <xf numFmtId="10" fontId="0" fillId="0" borderId="0" xfId="0" applyNumberFormat="1"/>
    <xf numFmtId="164" fontId="3" fillId="0" borderId="0" xfId="0" applyNumberFormat="1" applyFont="1"/>
    <xf numFmtId="2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3" fontId="0" fillId="0" borderId="0" xfId="2" applyFont="1"/>
    <xf numFmtId="43" fontId="3" fillId="0" borderId="0" xfId="2" applyFont="1"/>
    <xf numFmtId="164" fontId="0" fillId="3" borderId="0" xfId="0" applyNumberFormat="1" applyFill="1"/>
    <xf numFmtId="0" fontId="0" fillId="3" borderId="0" xfId="0" applyFill="1"/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3" borderId="0" xfId="0" applyNumberFormat="1" applyFill="1"/>
    <xf numFmtId="9" fontId="0" fillId="3" borderId="0" xfId="1" applyFont="1" applyFill="1"/>
    <xf numFmtId="0" fontId="0" fillId="0" borderId="0" xfId="0" applyAlignment="1">
      <alignment wrapText="1"/>
    </xf>
  </cellXfs>
  <cellStyles count="3">
    <cellStyle name="Comma" xfId="2" builtinId="3"/>
    <cellStyle name="Normal" xfId="0" builtinId="0"/>
    <cellStyle name="Percent" xfId="1" builtinId="5"/>
  </cellStyles>
  <dxfs count="37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</dxf>
    <dxf>
      <numFmt numFmtId="2" formatCode="0.0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820C3-30D4-4E32-A9CD-9B2A8BAECF56}" name="Table1" displayName="Table1" ref="A1:W30" totalsRowCount="1" headerRowDxfId="36">
  <autoFilter ref="A1:W29" xr:uid="{83B820C3-30D4-4E32-A9CD-9B2A8BAECF56}"/>
  <tableColumns count="23">
    <tableColumn id="1" xr3:uid="{5D01BDE8-EE58-4D87-9B3B-211302545617}" name="Name "/>
    <tableColumn id="2" xr3:uid="{6197ADB7-B987-4EF0-A968-C6E335991400}" name="ID Number "/>
    <tableColumn id="19" xr3:uid="{571393FC-9D4E-4AF3-A09E-22F5B83FDEF5}" name="NEC Eligibility" dataDxfId="35"/>
    <tableColumn id="18" xr3:uid="{DCC5C2A9-0454-4D49-8284-A48741445F15}" name="TIN"/>
    <tableColumn id="15" xr3:uid="{07E46693-B932-477B-A831-28E60D05ECDE}" name="Gross Pay" totalsRowFunction="sum" dataDxfId="34" totalsRowDxfId="16"/>
    <tableColumn id="21" xr3:uid="{7D5482B1-32AA-4534-96CD-D528A3732E27}" name="Bonus" totalsRowFunction="sum" dataDxfId="33" totalsRowDxfId="15"/>
    <tableColumn id="20" xr3:uid="{B607C220-6D75-4140-BF0E-5466EE3FC32D}" name="Yearly Bonus" totalsRowFunction="sum" dataDxfId="32" totalsRowDxfId="14"/>
    <tableColumn id="16" xr3:uid="{76689998-D4E8-4332-A16E-9A060D5C127B}" name="WCIF" totalsRowFunction="sum" dataDxfId="31" totalsRowDxfId="13">
      <calculatedColumnFormula>Table1[[#This Row],[Gross Pay]]*'Tax Tables'!$B$16</calculatedColumnFormula>
    </tableColumn>
    <tableColumn id="14" xr3:uid="{9CBBEDAA-9213-4E55-940E-FF6BA06247CE}" name="Trade Union" totalsRowFunction="sum" dataDxfId="30" totalsRowDxfId="12">
      <calculatedColumnFormula>Table1[[#This Row],[Gross Pay]]*'Tax Tables'!$B$15</calculatedColumnFormula>
    </tableColumn>
    <tableColumn id="13" xr3:uid="{ED2C3454-506F-4A55-B5E7-2F909CFCDD57}" name="NEC" totalsRowFunction="sum" dataDxfId="29" totalsRowDxfId="11">
      <calculatedColumnFormula>IF(Table1[[#This Row],[NEC Eligibility]]=TRUE,Table1[[#This Row],[Gross Pay]]*'Tax Tables'!$B$14,"")</calculatedColumnFormula>
    </tableColumn>
    <tableColumn id="12" xr3:uid="{84D944ED-76BB-437C-BEF9-FB57EF6D8DC6}" name="NEC Employee" totalsRowFunction="sum" dataDxfId="28" totalsRowDxfId="10">
      <calculatedColumnFormula>IFERROR(Table1[[#This Row],[NEC]]/2,"0")</calculatedColumnFormula>
    </tableColumn>
    <tableColumn id="11" xr3:uid="{0B5DF5D2-5642-4157-B85E-0793A878E796}" name="NSSA" totalsRowFunction="sum" dataDxfId="27" totalsRowDxfId="9">
      <calculatedColumnFormula>IF(Table1[[#This Row],[Gross Pay]]&gt;'Tax Tables'!$D$13,'Tax Tables'!$D$13*'Tax Tables'!$B$13,Table1[[#This Row],[Gross Pay]]*'Tax Tables'!$B$13)</calculatedColumnFormula>
    </tableColumn>
    <tableColumn id="10" xr3:uid="{51FB4356-3068-4D76-9AA7-AFEE68D47E41}" name="NSSA Employee" totalsRowFunction="sum" dataDxfId="26" totalsRowDxfId="8">
      <calculatedColumnFormula>Table1[[#This Row],[NSSA]]/2</calculatedColumnFormula>
    </tableColumn>
    <tableColumn id="3" xr3:uid="{4B29569B-8BB9-4AF9-94AA-B22170F29B9B}" name="Taxable Income" totalsRowFunction="sum" dataDxfId="25" totalsRowDxfId="7">
      <calculatedColumnFormula>Table1[[#This Row],[Gross Pay]]-Table1[[#This Row],[Trade Union]]-Table1[[#This Row],[NEC Employee]]-Table1[[#This Row],[NSSA Employee]]</calculatedColumnFormula>
    </tableColumn>
    <tableColumn id="4" xr3:uid="{2BE46774-C8FD-49EB-8835-147F764FD058}" name="Tax Rate" totalsRowDxfId="6">
      <calculatedColumnFormula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calculatedColumnFormula>
    </tableColumn>
    <tableColumn id="5" xr3:uid="{E0516263-3C48-44DD-A2BC-DFA3FE6E6E0C}" name="Deduction" dataDxfId="24">
      <calculatedColumnFormula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calculatedColumnFormula>
    </tableColumn>
    <tableColumn id="6" xr3:uid="{A7C1E2A6-306D-41AF-B945-3A3A032BF4AE}" name="PAYE" totalsRowFunction="sum" dataDxfId="23" totalsRowDxfId="5">
      <calculatedColumnFormula>Table1[[#This Row],[Taxable Income]]*Table1[[#This Row],[Tax Rate]]-(Table1[[#This Row],[Deduction]])</calculatedColumnFormula>
    </tableColumn>
    <tableColumn id="7" xr3:uid="{9F65E28D-5714-4A05-8F66-41505EE2C52D}" name="AIDS Levy" totalsRowFunction="sum" dataDxfId="22" totalsRowDxfId="4">
      <calculatedColumnFormula>Table1[[#This Row],[PAYE]]*'Tax Tables'!$B$11</calculatedColumnFormula>
    </tableColumn>
    <tableColumn id="9" xr3:uid="{C05A8FFD-52A8-49EE-ABDF-44943D555DE9}" name="PAYE ZIMRA" totalsRowFunction="sum" dataDxfId="21" totalsRowDxfId="3">
      <calculatedColumnFormula>Table1[[#This Row],[PAYE]]+Table1[[#This Row],[AIDS Levy]]</calculatedColumnFormula>
    </tableColumn>
    <tableColumn id="17" xr3:uid="{1B3CDFF9-E74C-4953-AACF-5C5DC4AA2B90}" name="Total Deductions" totalsRowFunction="sum" dataDxfId="20" totalsRowDxfId="2">
      <calculatedColumnFormula>Table1[[#This Row],[PAYE]]+Table1[[#This Row],[AIDS Levy]]+Table1[[#This Row],[NSSA Employee]]+Table1[[#This Row],[NEC Employee]]</calculatedColumnFormula>
    </tableColumn>
    <tableColumn id="8" xr3:uid="{A4ED0A9E-668C-4025-BB41-66F5242FF20C}" name="Net Pay" totalsRowFunction="sum" dataDxfId="19" totalsRowDxfId="1">
      <calculatedColumnFormula>Table1[[#This Row],[Taxable Income]]-Table1[[#This Row],[PAYE ZIMRA]]+Table1[[#This Row],[Yearly Bonus]]+Table1[[#This Row],[Bonus]]</calculatedColumnFormula>
    </tableColumn>
    <tableColumn id="22" xr3:uid="{828C0084-4BF4-4179-9906-D72E45E39B0F}" name="Advance Deductions" dataDxfId="18"/>
    <tableColumn id="23" xr3:uid="{509D3E6A-08C8-4F6B-953A-EFD8DE673353}" name="Net Pay after Deductions" totalsRowFunction="sum" dataDxfId="17" totalsRowDxfId="0">
      <calculatedColumnFormula>Table1[[#This Row],[Net Pay]]-Table1[[#This Row],[Advance Deductions]]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027C-7736-4E4F-AC25-932EB3F63F47}">
  <dimension ref="A1:W30"/>
  <sheetViews>
    <sheetView tabSelected="1" topLeftCell="A13" workbookViewId="0">
      <pane xSplit="1" topLeftCell="M1" activePane="topRight" state="frozen"/>
      <selection pane="topRight" activeCell="W33" sqref="W33"/>
    </sheetView>
  </sheetViews>
  <sheetFormatPr defaultRowHeight="14.4" x14ac:dyDescent="0.3"/>
  <cols>
    <col min="1" max="1" width="24.6640625" bestFit="1" customWidth="1"/>
    <col min="2" max="13" width="15.21875" customWidth="1"/>
    <col min="14" max="14" width="15.88671875" customWidth="1"/>
    <col min="15" max="21" width="15.21875" customWidth="1"/>
    <col min="22" max="22" width="20.44140625" bestFit="1" customWidth="1"/>
    <col min="23" max="23" width="23.88671875" bestFit="1" customWidth="1"/>
  </cols>
  <sheetData>
    <row r="1" spans="1:23" x14ac:dyDescent="0.3">
      <c r="A1" s="1" t="s">
        <v>0</v>
      </c>
      <c r="B1" s="1" t="s">
        <v>22</v>
      </c>
      <c r="C1" s="1" t="s">
        <v>24</v>
      </c>
      <c r="D1" s="1" t="s">
        <v>23</v>
      </c>
      <c r="E1" s="1" t="s">
        <v>12</v>
      </c>
      <c r="F1" s="1" t="s">
        <v>25</v>
      </c>
      <c r="G1" s="1" t="s">
        <v>26</v>
      </c>
      <c r="H1" s="1" t="s">
        <v>16</v>
      </c>
      <c r="I1" s="1" t="s">
        <v>11</v>
      </c>
      <c r="J1" s="1" t="s">
        <v>13</v>
      </c>
      <c r="K1" s="1" t="s">
        <v>14</v>
      </c>
      <c r="L1" s="1" t="s">
        <v>9</v>
      </c>
      <c r="M1" s="1" t="s">
        <v>15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8</v>
      </c>
      <c r="T1" s="1" t="s">
        <v>20</v>
      </c>
      <c r="U1" s="1" t="s">
        <v>6</v>
      </c>
      <c r="V1" s="1" t="s">
        <v>27</v>
      </c>
      <c r="W1" s="1" t="s">
        <v>28</v>
      </c>
    </row>
    <row r="2" spans="1:23" x14ac:dyDescent="0.3">
      <c r="A2" s="12" t="s">
        <v>21</v>
      </c>
      <c r="B2" s="12"/>
      <c r="C2" s="13" t="b">
        <v>0</v>
      </c>
      <c r="D2" s="12" t="s">
        <v>29</v>
      </c>
      <c r="E2" s="14">
        <v>1200</v>
      </c>
      <c r="F2" s="14"/>
      <c r="G2" s="7"/>
      <c r="H2" s="11">
        <f>Table1[[#This Row],[Gross Pay]]*'Tax Tables'!$B$16</f>
        <v>15</v>
      </c>
      <c r="I2" s="11">
        <f>Table1[[#This Row],[Gross Pay]]*'Tax Tables'!$B$15</f>
        <v>0</v>
      </c>
      <c r="J2" s="11" t="str">
        <f>IF(Table1[[#This Row],[NEC Eligibility]]=TRUE,Table1[[#This Row],[Gross Pay]]*'Tax Tables'!$B$14,"")</f>
        <v/>
      </c>
      <c r="K2" s="11" t="str">
        <f>IFERROR(Table1[[#This Row],[NEC]]/2,"0")</f>
        <v>0</v>
      </c>
      <c r="L2" s="11">
        <f>IF(Table1[[#This Row],[Gross Pay]]&gt;'Tax Tables'!$D$13,'Tax Tables'!$D$13*'Tax Tables'!$B$13,Table1[[#This Row],[Gross Pay]]*'Tax Tables'!$B$13)</f>
        <v>63</v>
      </c>
      <c r="M2" s="11">
        <f>Table1[[#This Row],[NSSA]]/2</f>
        <v>31.5</v>
      </c>
      <c r="N2" s="11">
        <f>Table1[[#This Row],[Gross Pay]]-Table1[[#This Row],[Trade Union]]-Table1[[#This Row],[NEC Employee]]-Table1[[#This Row],[NSSA Employee]]</f>
        <v>1168.5</v>
      </c>
      <c r="O2" s="15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0.3</v>
      </c>
      <c r="P2" s="12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85</v>
      </c>
      <c r="Q2" s="11">
        <f>Table1[[#This Row],[Taxable Income]]*Table1[[#This Row],[Tax Rate]]-(Table1[[#This Row],[Deduction]])</f>
        <v>265.55</v>
      </c>
      <c r="R2" s="11">
        <f>Table1[[#This Row],[PAYE]]*'Tax Tables'!$B$11</f>
        <v>7.9664999999999999</v>
      </c>
      <c r="S2" s="11">
        <f>Table1[[#This Row],[PAYE]]+Table1[[#This Row],[AIDS Levy]]</f>
        <v>273.51650000000001</v>
      </c>
      <c r="T2" s="11">
        <f>Table1[[#This Row],[PAYE]]+Table1[[#This Row],[AIDS Levy]]+Table1[[#This Row],[NSSA Employee]]+Table1[[#This Row],[NEC Employee]]</f>
        <v>305.01650000000001</v>
      </c>
      <c r="U2" s="11">
        <f>Table1[[#This Row],[Taxable Income]]-Table1[[#This Row],[PAYE ZIMRA]]+Table1[[#This Row],[Yearly Bonus]]+Table1[[#This Row],[Bonus]]</f>
        <v>894.98350000000005</v>
      </c>
      <c r="V2" s="2">
        <v>0</v>
      </c>
      <c r="W2" s="2">
        <f>Table1[[#This Row],[Net Pay]]-Table1[[#This Row],[Advance Deductions]]</f>
        <v>894.98350000000005</v>
      </c>
    </row>
    <row r="3" spans="1:23" x14ac:dyDescent="0.3">
      <c r="C3" s="8" t="b">
        <v>1</v>
      </c>
      <c r="E3" s="7"/>
      <c r="F3" s="7"/>
      <c r="G3" s="7"/>
      <c r="H3" s="2">
        <f>Table1[[#This Row],[Gross Pay]]*'Tax Tables'!$B$16</f>
        <v>0</v>
      </c>
      <c r="I3" s="2">
        <f>Table1[[#This Row],[Gross Pay]]*'Tax Tables'!$B$15</f>
        <v>0</v>
      </c>
      <c r="J3" s="2">
        <f>IF(Table1[[#This Row],[NEC Eligibility]]=TRUE,Table1[[#This Row],[Gross Pay]]*'Tax Tables'!$B$14,"")</f>
        <v>0</v>
      </c>
      <c r="K3" s="2">
        <f>IFERROR(Table1[[#This Row],[NEC]]/2,"0")</f>
        <v>0</v>
      </c>
      <c r="L3" s="2">
        <f>IF(Table1[[#This Row],[Gross Pay]]&gt;'Tax Tables'!$D$13,'Tax Tables'!$D$13*'Tax Tables'!$B$13,Table1[[#This Row],[Gross Pay]]*'Tax Tables'!$B$13)</f>
        <v>0</v>
      </c>
      <c r="M3" s="2">
        <f>Table1[[#This Row],[NSSA]]/2</f>
        <v>0</v>
      </c>
      <c r="N3" s="2">
        <f>Table1[[#This Row],[Gross Pay]]-Table1[[#This Row],[Trade Union]]-Table1[[#This Row],[NEC Employee]]-Table1[[#This Row],[NSSA Employee]]</f>
        <v>0</v>
      </c>
      <c r="O3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3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3" s="2">
        <f>Table1[[#This Row],[Taxable Income]]*Table1[[#This Row],[Tax Rate]]-(Table1[[#This Row],[Deduction]])</f>
        <v>0</v>
      </c>
      <c r="R3" s="2">
        <f>Table1[[#This Row],[PAYE]]*'Tax Tables'!$B$11</f>
        <v>0</v>
      </c>
      <c r="S3" s="2">
        <f>Table1[[#This Row],[PAYE]]+Table1[[#This Row],[AIDS Levy]]</f>
        <v>0</v>
      </c>
      <c r="T3" s="2">
        <f>Table1[[#This Row],[PAYE]]+Table1[[#This Row],[AIDS Levy]]+Table1[[#This Row],[NSSA Employee]]+Table1[[#This Row],[NEC Employee]]</f>
        <v>0</v>
      </c>
      <c r="U3" s="2">
        <f>Table1[[#This Row],[Taxable Income]]-Table1[[#This Row],[PAYE ZIMRA]]+Table1[[#This Row],[Yearly Bonus]]+Table1[[#This Row],[Bonus]]</f>
        <v>0</v>
      </c>
      <c r="V3" s="2"/>
      <c r="W3" s="2">
        <f>Table1[[#This Row],[Net Pay]]-Table1[[#This Row],[Advance Deductions]]</f>
        <v>0</v>
      </c>
    </row>
    <row r="4" spans="1:23" x14ac:dyDescent="0.3">
      <c r="C4" s="8" t="b">
        <v>1</v>
      </c>
      <c r="E4" s="7"/>
      <c r="F4" s="7"/>
      <c r="G4" s="7"/>
      <c r="H4" s="2">
        <f>Table1[[#This Row],[Gross Pay]]*'Tax Tables'!$B$16</f>
        <v>0</v>
      </c>
      <c r="I4" s="2">
        <f>Table1[[#This Row],[Gross Pay]]*'Tax Tables'!$B$15</f>
        <v>0</v>
      </c>
      <c r="J4" s="2">
        <f>IF(Table1[[#This Row],[NEC Eligibility]]=TRUE,Table1[[#This Row],[Gross Pay]]*'Tax Tables'!$B$14,"")</f>
        <v>0</v>
      </c>
      <c r="K4" s="2">
        <f>IFERROR(Table1[[#This Row],[NEC]]/2,"0")</f>
        <v>0</v>
      </c>
      <c r="L4" s="2">
        <f>IF(Table1[[#This Row],[Gross Pay]]&gt;'Tax Tables'!$D$13,'Tax Tables'!$D$13*'Tax Tables'!$B$13,Table1[[#This Row],[Gross Pay]]*'Tax Tables'!$B$13)</f>
        <v>0</v>
      </c>
      <c r="M4" s="2">
        <f>Table1[[#This Row],[NSSA]]/2</f>
        <v>0</v>
      </c>
      <c r="N4" s="2">
        <f>Table1[[#This Row],[Gross Pay]]-Table1[[#This Row],[Trade Union]]-Table1[[#This Row],[NEC Employee]]-Table1[[#This Row],[NSSA Employee]]</f>
        <v>0</v>
      </c>
      <c r="O4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4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4" s="2">
        <f>Table1[[#This Row],[Taxable Income]]*Table1[[#This Row],[Tax Rate]]-(Table1[[#This Row],[Deduction]])</f>
        <v>0</v>
      </c>
      <c r="R4" s="2">
        <f>Table1[[#This Row],[PAYE]]*'Tax Tables'!$B$11</f>
        <v>0</v>
      </c>
      <c r="S4" s="2">
        <f>Table1[[#This Row],[PAYE]]+Table1[[#This Row],[AIDS Levy]]</f>
        <v>0</v>
      </c>
      <c r="T4" s="2">
        <f>Table1[[#This Row],[PAYE]]+Table1[[#This Row],[AIDS Levy]]+Table1[[#This Row],[NSSA Employee]]+Table1[[#This Row],[NEC Employee]]</f>
        <v>0</v>
      </c>
      <c r="U4" s="2">
        <f>Table1[[#This Row],[Taxable Income]]-Table1[[#This Row],[PAYE ZIMRA]]+Table1[[#This Row],[Yearly Bonus]]+Table1[[#This Row],[Bonus]]</f>
        <v>0</v>
      </c>
      <c r="V4" s="2">
        <v>0</v>
      </c>
      <c r="W4" s="2">
        <f>Table1[[#This Row],[Net Pay]]-Table1[[#This Row],[Advance Deductions]]</f>
        <v>0</v>
      </c>
    </row>
    <row r="5" spans="1:23" x14ac:dyDescent="0.3">
      <c r="A5" s="12"/>
      <c r="B5" s="12"/>
      <c r="C5" s="13" t="b">
        <v>0</v>
      </c>
      <c r="D5" s="12"/>
      <c r="E5" s="14"/>
      <c r="F5" s="14"/>
      <c r="G5" s="7"/>
      <c r="H5" s="11">
        <f>Table1[[#This Row],[Gross Pay]]*'Tax Tables'!$B$16</f>
        <v>0</v>
      </c>
      <c r="I5" s="11">
        <f>Table1[[#This Row],[Gross Pay]]*'Tax Tables'!$B$15</f>
        <v>0</v>
      </c>
      <c r="J5" s="11" t="str">
        <f>IF(Table1[[#This Row],[NEC Eligibility]]=TRUE,Table1[[#This Row],[Gross Pay]]*'Tax Tables'!$B$14,"")</f>
        <v/>
      </c>
      <c r="K5" s="11" t="str">
        <f>IFERROR(Table1[[#This Row],[NEC]]/2,"0")</f>
        <v>0</v>
      </c>
      <c r="L5" s="11">
        <f>IF(Table1[[#This Row],[Gross Pay]]&gt;'Tax Tables'!$D$13,'Tax Tables'!$D$13*'Tax Tables'!$B$13,Table1[[#This Row],[Gross Pay]]*'Tax Tables'!$B$13)</f>
        <v>0</v>
      </c>
      <c r="M5" s="11">
        <f>Table1[[#This Row],[NSSA]]/2</f>
        <v>0</v>
      </c>
      <c r="N5" s="11">
        <f>Table1[[#This Row],[Gross Pay]]-Table1[[#This Row],[Trade Union]]-Table1[[#This Row],[NEC Employee]]-Table1[[#This Row],[NSSA Employee]]</f>
        <v>0</v>
      </c>
      <c r="O5" s="15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5" s="12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5" s="11">
        <f>Table1[[#This Row],[Taxable Income]]*Table1[[#This Row],[Tax Rate]]-(Table1[[#This Row],[Deduction]])</f>
        <v>0</v>
      </c>
      <c r="R5" s="11">
        <f>Table1[[#This Row],[PAYE]]*'Tax Tables'!$B$11</f>
        <v>0</v>
      </c>
      <c r="S5" s="11">
        <f>Table1[[#This Row],[PAYE]]+Table1[[#This Row],[AIDS Levy]]</f>
        <v>0</v>
      </c>
      <c r="T5" s="11">
        <f>Table1[[#This Row],[PAYE]]+Table1[[#This Row],[AIDS Levy]]+Table1[[#This Row],[NSSA Employee]]+Table1[[#This Row],[NEC Employee]]</f>
        <v>0</v>
      </c>
      <c r="U5" s="11">
        <f>Table1[[#This Row],[Taxable Income]]-Table1[[#This Row],[PAYE ZIMRA]]+Table1[[#This Row],[Yearly Bonus]]+Table1[[#This Row],[Bonus]]</f>
        <v>0</v>
      </c>
      <c r="V5" s="2">
        <v>0</v>
      </c>
      <c r="W5" s="2">
        <f>Table1[[#This Row],[Net Pay]]-Table1[[#This Row],[Advance Deductions]]</f>
        <v>0</v>
      </c>
    </row>
    <row r="6" spans="1:23" x14ac:dyDescent="0.3">
      <c r="C6" s="8" t="b">
        <v>1</v>
      </c>
      <c r="E6" s="7"/>
      <c r="F6" s="7"/>
      <c r="G6" s="7"/>
      <c r="H6" s="2">
        <f>Table1[[#This Row],[Gross Pay]]*'Tax Tables'!$B$16</f>
        <v>0</v>
      </c>
      <c r="I6" s="2">
        <f>Table1[[#This Row],[Gross Pay]]*'Tax Tables'!$B$15</f>
        <v>0</v>
      </c>
      <c r="J6" s="2">
        <f>IF(Table1[[#This Row],[NEC Eligibility]]=TRUE,Table1[[#This Row],[Gross Pay]]*'Tax Tables'!$B$14,"")</f>
        <v>0</v>
      </c>
      <c r="K6" s="2">
        <f>IFERROR(Table1[[#This Row],[NEC]]/2,"0")</f>
        <v>0</v>
      </c>
      <c r="L6" s="2">
        <f>IF(Table1[[#This Row],[Gross Pay]]&gt;'Tax Tables'!$D$13,'Tax Tables'!$D$13*'Tax Tables'!$B$13,Table1[[#This Row],[Gross Pay]]*'Tax Tables'!$B$13)</f>
        <v>0</v>
      </c>
      <c r="M6" s="2">
        <f>Table1[[#This Row],[NSSA]]/2</f>
        <v>0</v>
      </c>
      <c r="N6" s="2">
        <f>Table1[[#This Row],[Gross Pay]]-Table1[[#This Row],[Trade Union]]-Table1[[#This Row],[NEC Employee]]-Table1[[#This Row],[NSSA Employee]]</f>
        <v>0</v>
      </c>
      <c r="O6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6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6" s="2">
        <f>Table1[[#This Row],[Taxable Income]]*Table1[[#This Row],[Tax Rate]]-(Table1[[#This Row],[Deduction]])</f>
        <v>0</v>
      </c>
      <c r="R6" s="2">
        <f>Table1[[#This Row],[PAYE]]*'Tax Tables'!$B$11</f>
        <v>0</v>
      </c>
      <c r="S6" s="2">
        <f>Table1[[#This Row],[PAYE]]+Table1[[#This Row],[AIDS Levy]]</f>
        <v>0</v>
      </c>
      <c r="T6" s="2">
        <f>Table1[[#This Row],[PAYE]]+Table1[[#This Row],[AIDS Levy]]+Table1[[#This Row],[NSSA Employee]]+Table1[[#This Row],[NEC Employee]]</f>
        <v>0</v>
      </c>
      <c r="U6" s="2">
        <f>Table1[[#This Row],[Taxable Income]]-Table1[[#This Row],[PAYE ZIMRA]]+Table1[[#This Row],[Yearly Bonus]]+Table1[[#This Row],[Bonus]]</f>
        <v>0</v>
      </c>
      <c r="V6" s="2">
        <v>0</v>
      </c>
      <c r="W6" s="2">
        <f>Table1[[#This Row],[Net Pay]]-Table1[[#This Row],[Advance Deductions]]</f>
        <v>0</v>
      </c>
    </row>
    <row r="7" spans="1:23" x14ac:dyDescent="0.3">
      <c r="C7" s="8" t="b">
        <v>1</v>
      </c>
      <c r="E7" s="7"/>
      <c r="F7" s="7"/>
      <c r="G7" s="7"/>
      <c r="H7" s="2">
        <f>Table1[[#This Row],[Gross Pay]]*'Tax Tables'!$B$16</f>
        <v>0</v>
      </c>
      <c r="I7" s="2">
        <f>Table1[[#This Row],[Gross Pay]]*'Tax Tables'!$B$15</f>
        <v>0</v>
      </c>
      <c r="J7" s="2">
        <f>IF(Table1[[#This Row],[NEC Eligibility]]=TRUE,Table1[[#This Row],[Gross Pay]]*'Tax Tables'!$B$14,"")</f>
        <v>0</v>
      </c>
      <c r="K7" s="2">
        <f>IFERROR(Table1[[#This Row],[NEC]]/2,"0")</f>
        <v>0</v>
      </c>
      <c r="L7" s="2">
        <f>IF(Table1[[#This Row],[Gross Pay]]&gt;'Tax Tables'!$D$13,'Tax Tables'!$D$13*'Tax Tables'!$B$13,Table1[[#This Row],[Gross Pay]]*'Tax Tables'!$B$13)</f>
        <v>0</v>
      </c>
      <c r="M7" s="2">
        <f>Table1[[#This Row],[NSSA]]/2</f>
        <v>0</v>
      </c>
      <c r="N7" s="2">
        <f>Table1[[#This Row],[Gross Pay]]-Table1[[#This Row],[Trade Union]]-Table1[[#This Row],[NEC Employee]]-Table1[[#This Row],[NSSA Employee]]</f>
        <v>0</v>
      </c>
      <c r="O7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7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7" s="2">
        <f>Table1[[#This Row],[Taxable Income]]*Table1[[#This Row],[Tax Rate]]-(Table1[[#This Row],[Deduction]])</f>
        <v>0</v>
      </c>
      <c r="R7" s="2">
        <f>Table1[[#This Row],[PAYE]]*'Tax Tables'!$B$11</f>
        <v>0</v>
      </c>
      <c r="S7" s="2">
        <f>Table1[[#This Row],[PAYE]]+Table1[[#This Row],[AIDS Levy]]</f>
        <v>0</v>
      </c>
      <c r="T7" s="2">
        <f>Table1[[#This Row],[PAYE]]+Table1[[#This Row],[AIDS Levy]]+Table1[[#This Row],[NSSA Employee]]+Table1[[#This Row],[NEC Employee]]</f>
        <v>0</v>
      </c>
      <c r="U7" s="2">
        <f>Table1[[#This Row],[Taxable Income]]-Table1[[#This Row],[PAYE ZIMRA]]+Table1[[#This Row],[Yearly Bonus]]+Table1[[#This Row],[Bonus]]</f>
        <v>0</v>
      </c>
      <c r="V7" s="2">
        <v>0</v>
      </c>
      <c r="W7" s="2">
        <f>Table1[[#This Row],[Net Pay]]-Table1[[#This Row],[Advance Deductions]]</f>
        <v>0</v>
      </c>
    </row>
    <row r="8" spans="1:23" x14ac:dyDescent="0.3">
      <c r="C8" s="8" t="b">
        <v>1</v>
      </c>
      <c r="E8" s="7"/>
      <c r="F8" s="7"/>
      <c r="G8" s="7"/>
      <c r="H8" s="2">
        <f>Table1[[#This Row],[Gross Pay]]*'Tax Tables'!$B$16</f>
        <v>0</v>
      </c>
      <c r="I8" s="2">
        <f>Table1[[#This Row],[Gross Pay]]*'Tax Tables'!$B$15</f>
        <v>0</v>
      </c>
      <c r="J8" s="2">
        <f>IF(Table1[[#This Row],[NEC Eligibility]]=TRUE,Table1[[#This Row],[Gross Pay]]*'Tax Tables'!$B$14,"")</f>
        <v>0</v>
      </c>
      <c r="K8" s="2">
        <f>IFERROR(Table1[[#This Row],[NEC]]/2,"0")</f>
        <v>0</v>
      </c>
      <c r="L8" s="2">
        <f>IF(Table1[[#This Row],[Gross Pay]]&gt;'Tax Tables'!$D$13,'Tax Tables'!$D$13*'Tax Tables'!$B$13,Table1[[#This Row],[Gross Pay]]*'Tax Tables'!$B$13)</f>
        <v>0</v>
      </c>
      <c r="M8" s="2">
        <f>Table1[[#This Row],[NSSA]]/2</f>
        <v>0</v>
      </c>
      <c r="N8" s="2">
        <f>Table1[[#This Row],[Gross Pay]]-Table1[[#This Row],[Trade Union]]-Table1[[#This Row],[NEC Employee]]-Table1[[#This Row],[NSSA Employee]]</f>
        <v>0</v>
      </c>
      <c r="O8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8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8" s="2">
        <f>Table1[[#This Row],[Taxable Income]]*Table1[[#This Row],[Tax Rate]]-(Table1[[#This Row],[Deduction]])</f>
        <v>0</v>
      </c>
      <c r="R8" s="2">
        <f>Table1[[#This Row],[PAYE]]*'Tax Tables'!$B$11</f>
        <v>0</v>
      </c>
      <c r="S8" s="2">
        <f>Table1[[#This Row],[PAYE]]+Table1[[#This Row],[AIDS Levy]]</f>
        <v>0</v>
      </c>
      <c r="T8" s="2">
        <f>Table1[[#This Row],[PAYE]]+Table1[[#This Row],[AIDS Levy]]+Table1[[#This Row],[NSSA Employee]]+Table1[[#This Row],[NEC Employee]]</f>
        <v>0</v>
      </c>
      <c r="U8" s="2">
        <f>Table1[[#This Row],[Taxable Income]]-Table1[[#This Row],[PAYE ZIMRA]]+Table1[[#This Row],[Yearly Bonus]]+Table1[[#This Row],[Bonus]]</f>
        <v>0</v>
      </c>
      <c r="V8" s="2">
        <v>0</v>
      </c>
      <c r="W8" s="2">
        <f>Table1[[#This Row],[Net Pay]]-Table1[[#This Row],[Advance Deductions]]</f>
        <v>0</v>
      </c>
    </row>
    <row r="9" spans="1:23" x14ac:dyDescent="0.3">
      <c r="C9" s="8" t="b">
        <v>1</v>
      </c>
      <c r="E9" s="7"/>
      <c r="F9" s="7"/>
      <c r="G9" s="7"/>
      <c r="H9" s="2">
        <f>Table1[[#This Row],[Gross Pay]]*'Tax Tables'!$B$16</f>
        <v>0</v>
      </c>
      <c r="I9" s="2">
        <f>Table1[[#This Row],[Gross Pay]]*'Tax Tables'!$B$15</f>
        <v>0</v>
      </c>
      <c r="J9" s="2">
        <f>IF(Table1[[#This Row],[NEC Eligibility]]=TRUE,Table1[[#This Row],[Gross Pay]]*'Tax Tables'!$B$14,"")</f>
        <v>0</v>
      </c>
      <c r="K9" s="2">
        <f>IFERROR(Table1[[#This Row],[NEC]]/2,"0")</f>
        <v>0</v>
      </c>
      <c r="L9" s="2">
        <f>IF(Table1[[#This Row],[Gross Pay]]&gt;'Tax Tables'!$D$13,'Tax Tables'!$D$13*'Tax Tables'!$B$13,Table1[[#This Row],[Gross Pay]]*'Tax Tables'!$B$13)</f>
        <v>0</v>
      </c>
      <c r="M9" s="2">
        <f>Table1[[#This Row],[NSSA]]/2</f>
        <v>0</v>
      </c>
      <c r="N9" s="2">
        <f>Table1[[#This Row],[Gross Pay]]-Table1[[#This Row],[Trade Union]]-Table1[[#This Row],[NEC Employee]]-Table1[[#This Row],[NSSA Employee]]</f>
        <v>0</v>
      </c>
      <c r="O9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9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9" s="2">
        <f>Table1[[#This Row],[Taxable Income]]*Table1[[#This Row],[Tax Rate]]-(Table1[[#This Row],[Deduction]])</f>
        <v>0</v>
      </c>
      <c r="R9" s="2">
        <f>Table1[[#This Row],[PAYE]]*'Tax Tables'!$B$11</f>
        <v>0</v>
      </c>
      <c r="S9" s="2">
        <f>Table1[[#This Row],[PAYE]]+Table1[[#This Row],[AIDS Levy]]</f>
        <v>0</v>
      </c>
      <c r="T9" s="2">
        <f>Table1[[#This Row],[PAYE]]+Table1[[#This Row],[AIDS Levy]]+Table1[[#This Row],[NSSA Employee]]+Table1[[#This Row],[NEC Employee]]</f>
        <v>0</v>
      </c>
      <c r="U9" s="2">
        <f>Table1[[#This Row],[Taxable Income]]-Table1[[#This Row],[PAYE ZIMRA]]+Table1[[#This Row],[Yearly Bonus]]+Table1[[#This Row],[Bonus]]</f>
        <v>0</v>
      </c>
      <c r="V9" s="2">
        <v>0</v>
      </c>
      <c r="W9" s="2">
        <f>Table1[[#This Row],[Net Pay]]-Table1[[#This Row],[Advance Deductions]]</f>
        <v>0</v>
      </c>
    </row>
    <row r="10" spans="1:23" x14ac:dyDescent="0.3">
      <c r="C10" s="8" t="b">
        <v>1</v>
      </c>
      <c r="E10" s="7"/>
      <c r="F10" s="7"/>
      <c r="G10" s="7"/>
      <c r="H10" s="2">
        <f>Table1[[#This Row],[Gross Pay]]*'Tax Tables'!$B$16</f>
        <v>0</v>
      </c>
      <c r="I10" s="2">
        <f>Table1[[#This Row],[Gross Pay]]*'Tax Tables'!$B$15</f>
        <v>0</v>
      </c>
      <c r="J10" s="2">
        <f>IF(Table1[[#This Row],[NEC Eligibility]]=TRUE,Table1[[#This Row],[Gross Pay]]*'Tax Tables'!$B$14,"")</f>
        <v>0</v>
      </c>
      <c r="K10" s="2">
        <f>IFERROR(Table1[[#This Row],[NEC]]/2,"0")</f>
        <v>0</v>
      </c>
      <c r="L10" s="2">
        <f>IF(Table1[[#This Row],[Gross Pay]]&gt;'Tax Tables'!$D$13,'Tax Tables'!$D$13*'Tax Tables'!$B$13,Table1[[#This Row],[Gross Pay]]*'Tax Tables'!$B$13)</f>
        <v>0</v>
      </c>
      <c r="M10" s="2">
        <f>Table1[[#This Row],[NSSA]]/2</f>
        <v>0</v>
      </c>
      <c r="N10" s="2">
        <f>Table1[[#This Row],[Gross Pay]]-Table1[[#This Row],[Trade Union]]-Table1[[#This Row],[NEC Employee]]-Table1[[#This Row],[NSSA Employee]]</f>
        <v>0</v>
      </c>
      <c r="O10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10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10" s="2">
        <f>Table1[[#This Row],[Taxable Income]]*Table1[[#This Row],[Tax Rate]]-(Table1[[#This Row],[Deduction]])</f>
        <v>0</v>
      </c>
      <c r="R10" s="2">
        <f>Table1[[#This Row],[PAYE]]*'Tax Tables'!$B$11</f>
        <v>0</v>
      </c>
      <c r="S10" s="2">
        <f>Table1[[#This Row],[PAYE]]+Table1[[#This Row],[AIDS Levy]]</f>
        <v>0</v>
      </c>
      <c r="T10" s="2">
        <f>Table1[[#This Row],[PAYE]]+Table1[[#This Row],[AIDS Levy]]+Table1[[#This Row],[NSSA Employee]]+Table1[[#This Row],[NEC Employee]]</f>
        <v>0</v>
      </c>
      <c r="U10" s="2">
        <f>Table1[[#This Row],[Taxable Income]]-Table1[[#This Row],[PAYE ZIMRA]]+Table1[[#This Row],[Yearly Bonus]]+Table1[[#This Row],[Bonus]]</f>
        <v>0</v>
      </c>
      <c r="V10" s="2">
        <v>0</v>
      </c>
      <c r="W10" s="2">
        <f>Table1[[#This Row],[Net Pay]]-Table1[[#This Row],[Advance Deductions]]</f>
        <v>0</v>
      </c>
    </row>
    <row r="11" spans="1:23" x14ac:dyDescent="0.3">
      <c r="C11" s="8" t="b">
        <v>1</v>
      </c>
      <c r="E11" s="7"/>
      <c r="F11" s="7"/>
      <c r="G11" s="7"/>
      <c r="H11" s="2">
        <f>Table1[[#This Row],[Gross Pay]]*'Tax Tables'!$B$16</f>
        <v>0</v>
      </c>
      <c r="I11" s="2">
        <f>Table1[[#This Row],[Gross Pay]]*'Tax Tables'!$B$15</f>
        <v>0</v>
      </c>
      <c r="J11" s="2">
        <f>IF(Table1[[#This Row],[NEC Eligibility]]=TRUE,Table1[[#This Row],[Gross Pay]]*'Tax Tables'!$B$14,"")</f>
        <v>0</v>
      </c>
      <c r="K11" s="2">
        <f>IFERROR(Table1[[#This Row],[NEC]]/2,"0")</f>
        <v>0</v>
      </c>
      <c r="L11" s="2">
        <f>IF(Table1[[#This Row],[Gross Pay]]&gt;'Tax Tables'!$D$13,'Tax Tables'!$D$13*'Tax Tables'!$B$13,Table1[[#This Row],[Gross Pay]]*'Tax Tables'!$B$13)</f>
        <v>0</v>
      </c>
      <c r="M11" s="2">
        <f>Table1[[#This Row],[NSSA]]/2</f>
        <v>0</v>
      </c>
      <c r="N11" s="2">
        <f>Table1[[#This Row],[Gross Pay]]-Table1[[#This Row],[Trade Union]]-Table1[[#This Row],[NEC Employee]]-Table1[[#This Row],[NSSA Employee]]</f>
        <v>0</v>
      </c>
      <c r="O11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11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11" s="2">
        <f>Table1[[#This Row],[Taxable Income]]*Table1[[#This Row],[Tax Rate]]-(Table1[[#This Row],[Deduction]])</f>
        <v>0</v>
      </c>
      <c r="R11" s="2">
        <f>Table1[[#This Row],[PAYE]]*'Tax Tables'!$B$11</f>
        <v>0</v>
      </c>
      <c r="S11" s="2">
        <f>Table1[[#This Row],[PAYE]]+Table1[[#This Row],[AIDS Levy]]</f>
        <v>0</v>
      </c>
      <c r="T11" s="2">
        <f>Table1[[#This Row],[PAYE]]+Table1[[#This Row],[AIDS Levy]]+Table1[[#This Row],[NSSA Employee]]+Table1[[#This Row],[NEC Employee]]</f>
        <v>0</v>
      </c>
      <c r="U11" s="2">
        <f>Table1[[#This Row],[Taxable Income]]-Table1[[#This Row],[PAYE ZIMRA]]+Table1[[#This Row],[Yearly Bonus]]+Table1[[#This Row],[Bonus]]</f>
        <v>0</v>
      </c>
      <c r="V11" s="2">
        <v>0</v>
      </c>
      <c r="W11" s="2">
        <f>Table1[[#This Row],[Net Pay]]-Table1[[#This Row],[Advance Deductions]]</f>
        <v>0</v>
      </c>
    </row>
    <row r="12" spans="1:23" x14ac:dyDescent="0.3">
      <c r="C12" s="8" t="b">
        <v>1</v>
      </c>
      <c r="E12" s="7"/>
      <c r="F12" s="7"/>
      <c r="G12" s="7"/>
      <c r="H12" s="2">
        <f>Table1[[#This Row],[Gross Pay]]*'Tax Tables'!$B$16</f>
        <v>0</v>
      </c>
      <c r="I12" s="2">
        <f>Table1[[#This Row],[Gross Pay]]*'Tax Tables'!$B$15</f>
        <v>0</v>
      </c>
      <c r="J12" s="2">
        <f>IF(Table1[[#This Row],[NEC Eligibility]]=TRUE,Table1[[#This Row],[Gross Pay]]*'Tax Tables'!$B$14,"")</f>
        <v>0</v>
      </c>
      <c r="K12" s="2">
        <f>IFERROR(Table1[[#This Row],[NEC]]/2,"0")</f>
        <v>0</v>
      </c>
      <c r="L12" s="2">
        <f>IF(Table1[[#This Row],[Gross Pay]]&gt;'Tax Tables'!$D$13,'Tax Tables'!$D$13*'Tax Tables'!$B$13,Table1[[#This Row],[Gross Pay]]*'Tax Tables'!$B$13)</f>
        <v>0</v>
      </c>
      <c r="M12" s="2">
        <f>Table1[[#This Row],[NSSA]]/2</f>
        <v>0</v>
      </c>
      <c r="N12" s="2">
        <f>Table1[[#This Row],[Gross Pay]]-Table1[[#This Row],[Trade Union]]-Table1[[#This Row],[NEC Employee]]-Table1[[#This Row],[NSSA Employee]]</f>
        <v>0</v>
      </c>
      <c r="O12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12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12" s="2">
        <f>Table1[[#This Row],[Taxable Income]]*Table1[[#This Row],[Tax Rate]]-(Table1[[#This Row],[Deduction]])</f>
        <v>0</v>
      </c>
      <c r="R12" s="2">
        <f>Table1[[#This Row],[PAYE]]*'Tax Tables'!$B$11</f>
        <v>0</v>
      </c>
      <c r="S12" s="2">
        <f>Table1[[#This Row],[PAYE]]+Table1[[#This Row],[AIDS Levy]]</f>
        <v>0</v>
      </c>
      <c r="T12" s="2">
        <f>Table1[[#This Row],[PAYE]]+Table1[[#This Row],[AIDS Levy]]+Table1[[#This Row],[NSSA Employee]]+Table1[[#This Row],[NEC Employee]]</f>
        <v>0</v>
      </c>
      <c r="U12" s="2">
        <f>Table1[[#This Row],[Taxable Income]]-Table1[[#This Row],[PAYE ZIMRA]]+Table1[[#This Row],[Yearly Bonus]]+Table1[[#This Row],[Bonus]]</f>
        <v>0</v>
      </c>
      <c r="V12" s="2">
        <v>0</v>
      </c>
      <c r="W12" s="2">
        <f>Table1[[#This Row],[Net Pay]]-Table1[[#This Row],[Advance Deductions]]</f>
        <v>0</v>
      </c>
    </row>
    <row r="13" spans="1:23" x14ac:dyDescent="0.3">
      <c r="C13" s="8" t="b">
        <v>1</v>
      </c>
      <c r="E13" s="7"/>
      <c r="F13" s="7"/>
      <c r="G13" s="7"/>
      <c r="H13" s="2">
        <f>Table1[[#This Row],[Gross Pay]]*'Tax Tables'!$B$16</f>
        <v>0</v>
      </c>
      <c r="I13" s="2">
        <f>Table1[[#This Row],[Gross Pay]]*'Tax Tables'!$B$15</f>
        <v>0</v>
      </c>
      <c r="J13" s="2">
        <f>IF(Table1[[#This Row],[NEC Eligibility]]=TRUE,Table1[[#This Row],[Gross Pay]]*'Tax Tables'!$B$14,"")</f>
        <v>0</v>
      </c>
      <c r="K13" s="2">
        <f>IFERROR(Table1[[#This Row],[NEC]]/2,"0")</f>
        <v>0</v>
      </c>
      <c r="L13" s="2">
        <f>IF(Table1[[#This Row],[Gross Pay]]&gt;'Tax Tables'!$D$13,'Tax Tables'!$D$13*'Tax Tables'!$B$13,Table1[[#This Row],[Gross Pay]]*'Tax Tables'!$B$13)</f>
        <v>0</v>
      </c>
      <c r="M13" s="2">
        <f>Table1[[#This Row],[NSSA]]/2</f>
        <v>0</v>
      </c>
      <c r="N13" s="2">
        <f>Table1[[#This Row],[Gross Pay]]-Table1[[#This Row],[Trade Union]]-Table1[[#This Row],[NEC Employee]]-Table1[[#This Row],[NSSA Employee]]</f>
        <v>0</v>
      </c>
      <c r="O13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13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13" s="2">
        <f>Table1[[#This Row],[Taxable Income]]*Table1[[#This Row],[Tax Rate]]-(Table1[[#This Row],[Deduction]])</f>
        <v>0</v>
      </c>
      <c r="R13" s="2">
        <f>Table1[[#This Row],[PAYE]]*'Tax Tables'!$B$11</f>
        <v>0</v>
      </c>
      <c r="S13" s="2">
        <f>Table1[[#This Row],[PAYE]]+Table1[[#This Row],[AIDS Levy]]</f>
        <v>0</v>
      </c>
      <c r="T13" s="2">
        <f>Table1[[#This Row],[PAYE]]+Table1[[#This Row],[AIDS Levy]]+Table1[[#This Row],[NSSA Employee]]+Table1[[#This Row],[NEC Employee]]</f>
        <v>0</v>
      </c>
      <c r="U13" s="2">
        <f>Table1[[#This Row],[Taxable Income]]-Table1[[#This Row],[PAYE ZIMRA]]+Table1[[#This Row],[Yearly Bonus]]+Table1[[#This Row],[Bonus]]</f>
        <v>0</v>
      </c>
      <c r="V13" s="2">
        <v>0</v>
      </c>
      <c r="W13" s="2">
        <f>Table1[[#This Row],[Net Pay]]-Table1[[#This Row],[Advance Deductions]]</f>
        <v>0</v>
      </c>
    </row>
    <row r="14" spans="1:23" x14ac:dyDescent="0.3">
      <c r="C14" s="8" t="b">
        <v>1</v>
      </c>
      <c r="E14" s="7"/>
      <c r="F14" s="7"/>
      <c r="G14" s="7"/>
      <c r="H14" s="2">
        <f>Table1[[#This Row],[Gross Pay]]*'Tax Tables'!$B$16</f>
        <v>0</v>
      </c>
      <c r="I14" s="2">
        <f>Table1[[#This Row],[Gross Pay]]*'Tax Tables'!$B$15</f>
        <v>0</v>
      </c>
      <c r="J14" s="2">
        <f>IF(Table1[[#This Row],[NEC Eligibility]]=TRUE,Table1[[#This Row],[Gross Pay]]*'Tax Tables'!$B$14,"")</f>
        <v>0</v>
      </c>
      <c r="K14" s="2">
        <f>IFERROR(Table1[[#This Row],[NEC]]/2,"0")</f>
        <v>0</v>
      </c>
      <c r="L14" s="2">
        <f>IF(Table1[[#This Row],[Gross Pay]]&gt;'Tax Tables'!$D$13,'Tax Tables'!$D$13*'Tax Tables'!$B$13,Table1[[#This Row],[Gross Pay]]*'Tax Tables'!$B$13)</f>
        <v>0</v>
      </c>
      <c r="M14" s="2">
        <f>Table1[[#This Row],[NSSA]]/2</f>
        <v>0</v>
      </c>
      <c r="N14" s="2">
        <f>Table1[[#This Row],[Gross Pay]]-Table1[[#This Row],[Trade Union]]-Table1[[#This Row],[NEC Employee]]-Table1[[#This Row],[NSSA Employee]]</f>
        <v>0</v>
      </c>
      <c r="O14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14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14" s="2">
        <f>Table1[[#This Row],[Taxable Income]]*Table1[[#This Row],[Tax Rate]]-(Table1[[#This Row],[Deduction]])</f>
        <v>0</v>
      </c>
      <c r="R14" s="2">
        <f>Table1[[#This Row],[PAYE]]*'Tax Tables'!$B$11</f>
        <v>0</v>
      </c>
      <c r="S14" s="2">
        <f>Table1[[#This Row],[PAYE]]+Table1[[#This Row],[AIDS Levy]]</f>
        <v>0</v>
      </c>
      <c r="T14" s="2">
        <f>Table1[[#This Row],[PAYE]]+Table1[[#This Row],[AIDS Levy]]+Table1[[#This Row],[NSSA Employee]]+Table1[[#This Row],[NEC Employee]]</f>
        <v>0</v>
      </c>
      <c r="U14" s="2">
        <f>Table1[[#This Row],[Taxable Income]]-Table1[[#This Row],[PAYE ZIMRA]]+Table1[[#This Row],[Yearly Bonus]]+Table1[[#This Row],[Bonus]]</f>
        <v>0</v>
      </c>
      <c r="V14" s="2">
        <v>0</v>
      </c>
      <c r="W14" s="2">
        <f>Table1[[#This Row],[Net Pay]]-Table1[[#This Row],[Advance Deductions]]</f>
        <v>0</v>
      </c>
    </row>
    <row r="15" spans="1:23" x14ac:dyDescent="0.3">
      <c r="C15" s="8" t="b">
        <v>0</v>
      </c>
      <c r="E15" s="7"/>
      <c r="F15" s="7"/>
      <c r="G15" s="7"/>
      <c r="H15" s="2">
        <f>Table1[[#This Row],[Gross Pay]]*'Tax Tables'!$B$16</f>
        <v>0</v>
      </c>
      <c r="I15" s="2">
        <f>Table1[[#This Row],[Gross Pay]]*'Tax Tables'!$B$15</f>
        <v>0</v>
      </c>
      <c r="J15" s="2" t="str">
        <f>IF(Table1[[#This Row],[NEC Eligibility]]=TRUE,Table1[[#This Row],[Gross Pay]]*'Tax Tables'!$B$14,"")</f>
        <v/>
      </c>
      <c r="K15" s="2" t="str">
        <f>IFERROR(Table1[[#This Row],[NEC]]/2,"0")</f>
        <v>0</v>
      </c>
      <c r="L15" s="2">
        <f>IF(Table1[[#This Row],[Gross Pay]]&gt;'Tax Tables'!$D$13,'Tax Tables'!$D$13*'Tax Tables'!$B$13,Table1[[#This Row],[Gross Pay]]*'Tax Tables'!$B$13)</f>
        <v>0</v>
      </c>
      <c r="M15" s="2">
        <f>Table1[[#This Row],[NSSA]]/2</f>
        <v>0</v>
      </c>
      <c r="N15" s="2">
        <f>Table1[[#This Row],[Gross Pay]]-Table1[[#This Row],[Trade Union]]-Table1[[#This Row],[NEC Employee]]-Table1[[#This Row],[NSSA Employee]]</f>
        <v>0</v>
      </c>
      <c r="O15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15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15" s="2">
        <f>Table1[[#This Row],[Taxable Income]]*Table1[[#This Row],[Tax Rate]]-(Table1[[#This Row],[Deduction]])</f>
        <v>0</v>
      </c>
      <c r="R15" s="2">
        <f>Table1[[#This Row],[PAYE]]*'Tax Tables'!$B$11</f>
        <v>0</v>
      </c>
      <c r="S15" s="2">
        <f>Table1[[#This Row],[PAYE]]+Table1[[#This Row],[AIDS Levy]]</f>
        <v>0</v>
      </c>
      <c r="T15" s="2">
        <f>Table1[[#This Row],[PAYE]]+Table1[[#This Row],[AIDS Levy]]+Table1[[#This Row],[NSSA Employee]]+Table1[[#This Row],[NEC Employee]]</f>
        <v>0</v>
      </c>
      <c r="U15" s="2">
        <f>Table1[[#This Row],[Taxable Income]]-Table1[[#This Row],[PAYE ZIMRA]]+Table1[[#This Row],[Yearly Bonus]]+Table1[[#This Row],[Bonus]]</f>
        <v>0</v>
      </c>
      <c r="V15" s="2">
        <v>0</v>
      </c>
      <c r="W15" s="2">
        <f>Table1[[#This Row],[Net Pay]]-Table1[[#This Row],[Advance Deductions]]</f>
        <v>0</v>
      </c>
    </row>
    <row r="16" spans="1:23" x14ac:dyDescent="0.3">
      <c r="C16" s="8" t="b">
        <v>1</v>
      </c>
      <c r="E16" s="7"/>
      <c r="F16" s="7"/>
      <c r="G16" s="7"/>
      <c r="H16" s="2">
        <f>Table1[[#This Row],[Gross Pay]]*'Tax Tables'!$B$16</f>
        <v>0</v>
      </c>
      <c r="I16" s="2">
        <f>Table1[[#This Row],[Gross Pay]]*'Tax Tables'!$B$15</f>
        <v>0</v>
      </c>
      <c r="J16" s="2">
        <f>IF(Table1[[#This Row],[NEC Eligibility]]=TRUE,Table1[[#This Row],[Gross Pay]]*'Tax Tables'!$B$14,"")</f>
        <v>0</v>
      </c>
      <c r="K16" s="2">
        <f>IFERROR(Table1[[#This Row],[NEC]]/2,"0")</f>
        <v>0</v>
      </c>
      <c r="L16" s="2">
        <f>IF(Table1[[#This Row],[Gross Pay]]&gt;'Tax Tables'!$D$13,'Tax Tables'!$D$13*'Tax Tables'!$B$13,Table1[[#This Row],[Gross Pay]]*'Tax Tables'!$B$13)</f>
        <v>0</v>
      </c>
      <c r="M16" s="2">
        <f>Table1[[#This Row],[NSSA]]/2</f>
        <v>0</v>
      </c>
      <c r="N16" s="2">
        <f>Table1[[#This Row],[Gross Pay]]-Table1[[#This Row],[Trade Union]]-Table1[[#This Row],[NEC Employee]]-Table1[[#This Row],[NSSA Employee]]</f>
        <v>0</v>
      </c>
      <c r="O16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16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16" s="2">
        <f>Table1[[#This Row],[Taxable Income]]*Table1[[#This Row],[Tax Rate]]-(Table1[[#This Row],[Deduction]])</f>
        <v>0</v>
      </c>
      <c r="R16" s="2">
        <f>Table1[[#This Row],[PAYE]]*'Tax Tables'!$B$11</f>
        <v>0</v>
      </c>
      <c r="S16" s="2">
        <f>Table1[[#This Row],[PAYE]]+Table1[[#This Row],[AIDS Levy]]</f>
        <v>0</v>
      </c>
      <c r="T16" s="2">
        <f>Table1[[#This Row],[PAYE]]+Table1[[#This Row],[AIDS Levy]]+Table1[[#This Row],[NSSA Employee]]+Table1[[#This Row],[NEC Employee]]</f>
        <v>0</v>
      </c>
      <c r="U16" s="2">
        <f>Table1[[#This Row],[Taxable Income]]-Table1[[#This Row],[PAYE ZIMRA]]+Table1[[#This Row],[Yearly Bonus]]+Table1[[#This Row],[Bonus]]</f>
        <v>0</v>
      </c>
      <c r="V16" s="2">
        <v>0</v>
      </c>
      <c r="W16" s="2">
        <f>Table1[[#This Row],[Net Pay]]-Table1[[#This Row],[Advance Deductions]]</f>
        <v>0</v>
      </c>
    </row>
    <row r="17" spans="1:23" x14ac:dyDescent="0.3">
      <c r="C17" s="8" t="b">
        <v>1</v>
      </c>
      <c r="E17" s="7"/>
      <c r="F17" s="7"/>
      <c r="G17" s="7"/>
      <c r="H17" s="2">
        <f>Table1[[#This Row],[Gross Pay]]*'Tax Tables'!$B$16</f>
        <v>0</v>
      </c>
      <c r="I17" s="2">
        <f>Table1[[#This Row],[Gross Pay]]*'Tax Tables'!$B$15</f>
        <v>0</v>
      </c>
      <c r="J17" s="2">
        <f>IF(Table1[[#This Row],[NEC Eligibility]]=TRUE,Table1[[#This Row],[Gross Pay]]*'Tax Tables'!$B$14,"")</f>
        <v>0</v>
      </c>
      <c r="K17" s="2">
        <f>IFERROR(Table1[[#This Row],[NEC]]/2,"0")</f>
        <v>0</v>
      </c>
      <c r="L17" s="2">
        <f>IF(Table1[[#This Row],[Gross Pay]]&gt;'Tax Tables'!$D$13,'Tax Tables'!$D$13*'Tax Tables'!$B$13,Table1[[#This Row],[Gross Pay]]*'Tax Tables'!$B$13)</f>
        <v>0</v>
      </c>
      <c r="M17" s="2">
        <f>Table1[[#This Row],[NSSA]]/2</f>
        <v>0</v>
      </c>
      <c r="N17" s="2">
        <f>Table1[[#This Row],[Gross Pay]]-Table1[[#This Row],[Trade Union]]-Table1[[#This Row],[NEC Employee]]-Table1[[#This Row],[NSSA Employee]]</f>
        <v>0</v>
      </c>
      <c r="O17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17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17" s="2">
        <f>Table1[[#This Row],[Taxable Income]]*Table1[[#This Row],[Tax Rate]]-(Table1[[#This Row],[Deduction]])</f>
        <v>0</v>
      </c>
      <c r="R17" s="2">
        <f>Table1[[#This Row],[PAYE]]*'Tax Tables'!$B$11</f>
        <v>0</v>
      </c>
      <c r="S17" s="2">
        <f>Table1[[#This Row],[PAYE]]+Table1[[#This Row],[AIDS Levy]]</f>
        <v>0</v>
      </c>
      <c r="T17" s="2">
        <f>Table1[[#This Row],[PAYE]]+Table1[[#This Row],[AIDS Levy]]+Table1[[#This Row],[NSSA Employee]]+Table1[[#This Row],[NEC Employee]]</f>
        <v>0</v>
      </c>
      <c r="U17" s="2">
        <f>Table1[[#This Row],[Taxable Income]]-Table1[[#This Row],[PAYE ZIMRA]]+Table1[[#This Row],[Yearly Bonus]]+Table1[[#This Row],[Bonus]]</f>
        <v>0</v>
      </c>
      <c r="V17" s="2">
        <v>0</v>
      </c>
      <c r="W17" s="2">
        <f>Table1[[#This Row],[Net Pay]]-Table1[[#This Row],[Advance Deductions]]</f>
        <v>0</v>
      </c>
    </row>
    <row r="18" spans="1:23" x14ac:dyDescent="0.3">
      <c r="C18" s="8" t="b">
        <v>1</v>
      </c>
      <c r="E18" s="7"/>
      <c r="F18" s="7"/>
      <c r="G18" s="7"/>
      <c r="H18" s="2">
        <f>Table1[[#This Row],[Gross Pay]]*'Tax Tables'!$B$16</f>
        <v>0</v>
      </c>
      <c r="I18" s="2">
        <f>Table1[[#This Row],[Gross Pay]]*'Tax Tables'!$B$15</f>
        <v>0</v>
      </c>
      <c r="J18" s="2">
        <f>IF(Table1[[#This Row],[NEC Eligibility]]=TRUE,Table1[[#This Row],[Gross Pay]]*'Tax Tables'!$B$14,"")</f>
        <v>0</v>
      </c>
      <c r="K18" s="2">
        <f>IFERROR(Table1[[#This Row],[NEC]]/2,"0")</f>
        <v>0</v>
      </c>
      <c r="L18" s="2">
        <f>IF(Table1[[#This Row],[Gross Pay]]&gt;'Tax Tables'!$D$13,'Tax Tables'!$D$13*'Tax Tables'!$B$13,Table1[[#This Row],[Gross Pay]]*'Tax Tables'!$B$13)</f>
        <v>0</v>
      </c>
      <c r="M18" s="2">
        <f>Table1[[#This Row],[NSSA]]/2</f>
        <v>0</v>
      </c>
      <c r="N18" s="2">
        <f>Table1[[#This Row],[Gross Pay]]-Table1[[#This Row],[Trade Union]]-Table1[[#This Row],[NEC Employee]]-Table1[[#This Row],[NSSA Employee]]</f>
        <v>0</v>
      </c>
      <c r="O18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18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18" s="2">
        <f>Table1[[#This Row],[Taxable Income]]*Table1[[#This Row],[Tax Rate]]-(Table1[[#This Row],[Deduction]])</f>
        <v>0</v>
      </c>
      <c r="R18" s="2">
        <f>Table1[[#This Row],[PAYE]]*'Tax Tables'!$B$11</f>
        <v>0</v>
      </c>
      <c r="S18" s="2">
        <f>Table1[[#This Row],[PAYE]]+Table1[[#This Row],[AIDS Levy]]</f>
        <v>0</v>
      </c>
      <c r="T18" s="2">
        <f>Table1[[#This Row],[PAYE]]+Table1[[#This Row],[AIDS Levy]]+Table1[[#This Row],[NSSA Employee]]+Table1[[#This Row],[NEC Employee]]</f>
        <v>0</v>
      </c>
      <c r="U18" s="2">
        <f>Table1[[#This Row],[Taxable Income]]-Table1[[#This Row],[PAYE ZIMRA]]+Table1[[#This Row],[Yearly Bonus]]+Table1[[#This Row],[Bonus]]</f>
        <v>0</v>
      </c>
      <c r="V18" s="2">
        <v>0</v>
      </c>
      <c r="W18" s="2">
        <f>Table1[[#This Row],[Net Pay]]-Table1[[#This Row],[Advance Deductions]]</f>
        <v>0</v>
      </c>
    </row>
    <row r="19" spans="1:23" x14ac:dyDescent="0.3">
      <c r="C19" s="8" t="b">
        <v>1</v>
      </c>
      <c r="E19" s="7"/>
      <c r="F19" s="7"/>
      <c r="G19" s="7"/>
      <c r="H19" s="2">
        <f>Table1[[#This Row],[Gross Pay]]*'Tax Tables'!$B$16</f>
        <v>0</v>
      </c>
      <c r="I19" s="2">
        <f>Table1[[#This Row],[Gross Pay]]*'Tax Tables'!$B$15</f>
        <v>0</v>
      </c>
      <c r="J19" s="2">
        <f>IF(Table1[[#This Row],[NEC Eligibility]]=TRUE,Table1[[#This Row],[Gross Pay]]*'Tax Tables'!$B$14,"")</f>
        <v>0</v>
      </c>
      <c r="K19" s="2">
        <f>IFERROR(Table1[[#This Row],[NEC]]/2,"0")</f>
        <v>0</v>
      </c>
      <c r="L19" s="2">
        <f>IF(Table1[[#This Row],[Gross Pay]]&gt;'Tax Tables'!$D$13,'Tax Tables'!$D$13*'Tax Tables'!$B$13,Table1[[#This Row],[Gross Pay]]*'Tax Tables'!$B$13)</f>
        <v>0</v>
      </c>
      <c r="M19" s="2">
        <f>Table1[[#This Row],[NSSA]]/2</f>
        <v>0</v>
      </c>
      <c r="N19" s="2">
        <f>Table1[[#This Row],[Gross Pay]]-Table1[[#This Row],[Trade Union]]-Table1[[#This Row],[NEC Employee]]-Table1[[#This Row],[NSSA Employee]]</f>
        <v>0</v>
      </c>
      <c r="O19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19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19" s="2">
        <f>Table1[[#This Row],[Taxable Income]]*Table1[[#This Row],[Tax Rate]]-(Table1[[#This Row],[Deduction]])</f>
        <v>0</v>
      </c>
      <c r="R19" s="2">
        <f>Table1[[#This Row],[PAYE]]*'Tax Tables'!$B$11</f>
        <v>0</v>
      </c>
      <c r="S19" s="2">
        <f>Table1[[#This Row],[PAYE]]+Table1[[#This Row],[AIDS Levy]]</f>
        <v>0</v>
      </c>
      <c r="T19" s="2">
        <f>Table1[[#This Row],[PAYE]]+Table1[[#This Row],[AIDS Levy]]+Table1[[#This Row],[NSSA Employee]]+Table1[[#This Row],[NEC Employee]]</f>
        <v>0</v>
      </c>
      <c r="U19" s="2">
        <f>Table1[[#This Row],[Taxable Income]]-Table1[[#This Row],[PAYE ZIMRA]]+Table1[[#This Row],[Yearly Bonus]]+Table1[[#This Row],[Bonus]]</f>
        <v>0</v>
      </c>
      <c r="V19" s="2">
        <v>0</v>
      </c>
      <c r="W19" s="2">
        <f>Table1[[#This Row],[Net Pay]]-Table1[[#This Row],[Advance Deductions]]</f>
        <v>0</v>
      </c>
    </row>
    <row r="20" spans="1:23" x14ac:dyDescent="0.3">
      <c r="C20" s="8" t="b">
        <v>1</v>
      </c>
      <c r="E20" s="7"/>
      <c r="F20" s="7"/>
      <c r="G20" s="7"/>
      <c r="H20" s="2">
        <f>Table1[[#This Row],[Gross Pay]]*'Tax Tables'!$B$16</f>
        <v>0</v>
      </c>
      <c r="I20" s="2">
        <f>Table1[[#This Row],[Gross Pay]]*'Tax Tables'!$B$15</f>
        <v>0</v>
      </c>
      <c r="J20" s="2">
        <f>IF(Table1[[#This Row],[NEC Eligibility]]=TRUE,Table1[[#This Row],[Gross Pay]]*'Tax Tables'!$B$14,"")</f>
        <v>0</v>
      </c>
      <c r="K20" s="2">
        <f>IFERROR(Table1[[#This Row],[NEC]]/2,"0")</f>
        <v>0</v>
      </c>
      <c r="L20" s="2">
        <f>IF(Table1[[#This Row],[Gross Pay]]&gt;'Tax Tables'!$D$13,'Tax Tables'!$D$13*'Tax Tables'!$B$13,Table1[[#This Row],[Gross Pay]]*'Tax Tables'!$B$13)</f>
        <v>0</v>
      </c>
      <c r="M20" s="2">
        <f>Table1[[#This Row],[NSSA]]/2</f>
        <v>0</v>
      </c>
      <c r="N20" s="2">
        <f>Table1[[#This Row],[Gross Pay]]-Table1[[#This Row],[Trade Union]]-Table1[[#This Row],[NEC Employee]]-Table1[[#This Row],[NSSA Employee]]</f>
        <v>0</v>
      </c>
      <c r="O20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20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20" s="2">
        <f>Table1[[#This Row],[Taxable Income]]*Table1[[#This Row],[Tax Rate]]-(Table1[[#This Row],[Deduction]])</f>
        <v>0</v>
      </c>
      <c r="R20" s="2">
        <f>Table1[[#This Row],[PAYE]]*'Tax Tables'!$B$11</f>
        <v>0</v>
      </c>
      <c r="S20" s="2">
        <f>Table1[[#This Row],[PAYE]]+Table1[[#This Row],[AIDS Levy]]</f>
        <v>0</v>
      </c>
      <c r="T20" s="2">
        <f>Table1[[#This Row],[PAYE]]+Table1[[#This Row],[AIDS Levy]]+Table1[[#This Row],[NSSA Employee]]+Table1[[#This Row],[NEC Employee]]</f>
        <v>0</v>
      </c>
      <c r="U20" s="2">
        <f>Table1[[#This Row],[Taxable Income]]-Table1[[#This Row],[PAYE ZIMRA]]+Table1[[#This Row],[Yearly Bonus]]+Table1[[#This Row],[Bonus]]</f>
        <v>0</v>
      </c>
      <c r="V20" s="2">
        <v>0</v>
      </c>
      <c r="W20" s="2">
        <f>Table1[[#This Row],[Net Pay]]-Table1[[#This Row],[Advance Deductions]]</f>
        <v>0</v>
      </c>
    </row>
    <row r="21" spans="1:23" x14ac:dyDescent="0.3">
      <c r="C21" s="8" t="b">
        <v>1</v>
      </c>
      <c r="E21" s="7"/>
      <c r="F21" s="7"/>
      <c r="G21" s="7"/>
      <c r="H21" s="2">
        <f>Table1[[#This Row],[Gross Pay]]*'Tax Tables'!$B$16</f>
        <v>0</v>
      </c>
      <c r="I21" s="2">
        <f>Table1[[#This Row],[Gross Pay]]*'Tax Tables'!$B$15</f>
        <v>0</v>
      </c>
      <c r="J21" s="2">
        <f>IF(Table1[[#This Row],[NEC Eligibility]]=TRUE,Table1[[#This Row],[Gross Pay]]*'Tax Tables'!$B$14,"")</f>
        <v>0</v>
      </c>
      <c r="K21" s="2">
        <f>IFERROR(Table1[[#This Row],[NEC]]/2,"0")</f>
        <v>0</v>
      </c>
      <c r="L21" s="2">
        <f>IF(Table1[[#This Row],[Gross Pay]]&gt;'Tax Tables'!$D$13,'Tax Tables'!$D$13*'Tax Tables'!$B$13,Table1[[#This Row],[Gross Pay]]*'Tax Tables'!$B$13)</f>
        <v>0</v>
      </c>
      <c r="M21" s="2">
        <f>Table1[[#This Row],[NSSA]]/2</f>
        <v>0</v>
      </c>
      <c r="N21" s="2">
        <f>Table1[[#This Row],[Gross Pay]]-Table1[[#This Row],[Trade Union]]-Table1[[#This Row],[NEC Employee]]-Table1[[#This Row],[NSSA Employee]]</f>
        <v>0</v>
      </c>
      <c r="O21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21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21" s="2">
        <f>Table1[[#This Row],[Taxable Income]]*Table1[[#This Row],[Tax Rate]]-(Table1[[#This Row],[Deduction]])</f>
        <v>0</v>
      </c>
      <c r="R21" s="2">
        <f>Table1[[#This Row],[PAYE]]*'Tax Tables'!$B$11</f>
        <v>0</v>
      </c>
      <c r="S21" s="2">
        <f>Table1[[#This Row],[PAYE]]+Table1[[#This Row],[AIDS Levy]]</f>
        <v>0</v>
      </c>
      <c r="T21" s="2">
        <f>Table1[[#This Row],[PAYE]]+Table1[[#This Row],[AIDS Levy]]+Table1[[#This Row],[NSSA Employee]]+Table1[[#This Row],[NEC Employee]]</f>
        <v>0</v>
      </c>
      <c r="U21" s="2">
        <f>Table1[[#This Row],[Taxable Income]]-Table1[[#This Row],[PAYE ZIMRA]]+Table1[[#This Row],[Yearly Bonus]]+Table1[[#This Row],[Bonus]]</f>
        <v>0</v>
      </c>
      <c r="V21" s="2">
        <v>0</v>
      </c>
      <c r="W21" s="2">
        <f>Table1[[#This Row],[Net Pay]]-Table1[[#This Row],[Advance Deductions]]</f>
        <v>0</v>
      </c>
    </row>
    <row r="22" spans="1:23" x14ac:dyDescent="0.3">
      <c r="C22" s="8" t="b">
        <v>1</v>
      </c>
      <c r="E22" s="7"/>
      <c r="F22" s="7"/>
      <c r="G22" s="7"/>
      <c r="H22" s="2">
        <f>Table1[[#This Row],[Gross Pay]]*'Tax Tables'!$B$16</f>
        <v>0</v>
      </c>
      <c r="I22" s="2">
        <f>Table1[[#This Row],[Gross Pay]]*'Tax Tables'!$B$15</f>
        <v>0</v>
      </c>
      <c r="J22" s="2">
        <f>IF(Table1[[#This Row],[NEC Eligibility]]=TRUE,Table1[[#This Row],[Gross Pay]]*'Tax Tables'!$B$14,"")</f>
        <v>0</v>
      </c>
      <c r="K22" s="2">
        <f>IFERROR(Table1[[#This Row],[NEC]]/2,"0")</f>
        <v>0</v>
      </c>
      <c r="L22" s="2">
        <f>IF(Table1[[#This Row],[Gross Pay]]&gt;'Tax Tables'!$D$13,'Tax Tables'!$D$13*'Tax Tables'!$B$13,Table1[[#This Row],[Gross Pay]]*'Tax Tables'!$B$13)</f>
        <v>0</v>
      </c>
      <c r="M22" s="2">
        <f>Table1[[#This Row],[NSSA]]/2</f>
        <v>0</v>
      </c>
      <c r="N22" s="2">
        <f>Table1[[#This Row],[Gross Pay]]-Table1[[#This Row],[Trade Union]]-Table1[[#This Row],[NEC Employee]]-Table1[[#This Row],[NSSA Employee]]</f>
        <v>0</v>
      </c>
      <c r="O22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22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22" s="2">
        <f>Table1[[#This Row],[Taxable Income]]*Table1[[#This Row],[Tax Rate]]-(Table1[[#This Row],[Deduction]])</f>
        <v>0</v>
      </c>
      <c r="R22" s="2">
        <f>Table1[[#This Row],[PAYE]]*'Tax Tables'!$B$11</f>
        <v>0</v>
      </c>
      <c r="S22" s="2">
        <f>Table1[[#This Row],[PAYE]]+Table1[[#This Row],[AIDS Levy]]</f>
        <v>0</v>
      </c>
      <c r="T22" s="2">
        <f>Table1[[#This Row],[PAYE]]+Table1[[#This Row],[AIDS Levy]]+Table1[[#This Row],[NSSA Employee]]+Table1[[#This Row],[NEC Employee]]</f>
        <v>0</v>
      </c>
      <c r="U22" s="2">
        <f>Table1[[#This Row],[Taxable Income]]-Table1[[#This Row],[PAYE ZIMRA]]+Table1[[#This Row],[Yearly Bonus]]+Table1[[#This Row],[Bonus]]</f>
        <v>0</v>
      </c>
      <c r="V22" s="2">
        <v>0</v>
      </c>
      <c r="W22" s="2">
        <f>Table1[[#This Row],[Net Pay]]-Table1[[#This Row],[Advance Deductions]]</f>
        <v>0</v>
      </c>
    </row>
    <row r="23" spans="1:23" x14ac:dyDescent="0.3">
      <c r="C23" s="8" t="b">
        <v>1</v>
      </c>
      <c r="E23" s="7"/>
      <c r="F23" s="7"/>
      <c r="G23" s="7"/>
      <c r="H23" s="2">
        <f>Table1[[#This Row],[Gross Pay]]*'Tax Tables'!$B$16</f>
        <v>0</v>
      </c>
      <c r="I23" s="2">
        <f>Table1[[#This Row],[Gross Pay]]*'Tax Tables'!$B$15</f>
        <v>0</v>
      </c>
      <c r="J23" s="2">
        <f>IF(Table1[[#This Row],[NEC Eligibility]]=TRUE,Table1[[#This Row],[Gross Pay]]*'Tax Tables'!$B$14,"")</f>
        <v>0</v>
      </c>
      <c r="K23" s="2">
        <f>IFERROR(Table1[[#This Row],[NEC]]/2,"0")</f>
        <v>0</v>
      </c>
      <c r="L23" s="2">
        <f>IF(Table1[[#This Row],[Gross Pay]]&gt;'Tax Tables'!$D$13,'Tax Tables'!$D$13*'Tax Tables'!$B$13,Table1[[#This Row],[Gross Pay]]*'Tax Tables'!$B$13)</f>
        <v>0</v>
      </c>
      <c r="M23" s="2">
        <f>Table1[[#This Row],[NSSA]]/2</f>
        <v>0</v>
      </c>
      <c r="N23" s="2">
        <f>Table1[[#This Row],[Gross Pay]]-Table1[[#This Row],[Trade Union]]-Table1[[#This Row],[NEC Employee]]-Table1[[#This Row],[NSSA Employee]]</f>
        <v>0</v>
      </c>
      <c r="O23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23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23" s="2">
        <f>Table1[[#This Row],[Taxable Income]]*Table1[[#This Row],[Tax Rate]]-(Table1[[#This Row],[Deduction]])</f>
        <v>0</v>
      </c>
      <c r="R23" s="2">
        <f>Table1[[#This Row],[PAYE]]*'Tax Tables'!$B$11</f>
        <v>0</v>
      </c>
      <c r="S23" s="2">
        <f>Table1[[#This Row],[PAYE]]+Table1[[#This Row],[AIDS Levy]]</f>
        <v>0</v>
      </c>
      <c r="T23" s="2">
        <f>Table1[[#This Row],[PAYE]]+Table1[[#This Row],[AIDS Levy]]+Table1[[#This Row],[NSSA Employee]]+Table1[[#This Row],[NEC Employee]]</f>
        <v>0</v>
      </c>
      <c r="U23" s="2">
        <f>Table1[[#This Row],[Taxable Income]]-Table1[[#This Row],[PAYE ZIMRA]]+Table1[[#This Row],[Yearly Bonus]]+Table1[[#This Row],[Bonus]]</f>
        <v>0</v>
      </c>
      <c r="V23" s="2">
        <v>0</v>
      </c>
      <c r="W23" s="2">
        <f>Table1[[#This Row],[Net Pay]]-Table1[[#This Row],[Advance Deductions]]</f>
        <v>0</v>
      </c>
    </row>
    <row r="24" spans="1:23" x14ac:dyDescent="0.3">
      <c r="C24" s="8" t="b">
        <v>1</v>
      </c>
      <c r="D24" s="16"/>
      <c r="E24" s="7"/>
      <c r="F24" s="7"/>
      <c r="G24" s="7"/>
      <c r="H24" s="2">
        <f>Table1[[#This Row],[Gross Pay]]*'Tax Tables'!$B$16</f>
        <v>0</v>
      </c>
      <c r="I24" s="2">
        <f>Table1[[#This Row],[Gross Pay]]*'Tax Tables'!$B$15</f>
        <v>0</v>
      </c>
      <c r="J24" s="2">
        <f>IF(Table1[[#This Row],[NEC Eligibility]]=TRUE,Table1[[#This Row],[Gross Pay]]*'Tax Tables'!$B$14,"")</f>
        <v>0</v>
      </c>
      <c r="K24" s="2">
        <f>IFERROR(Table1[[#This Row],[NEC]]/2,"0")</f>
        <v>0</v>
      </c>
      <c r="L24" s="2">
        <f>IF(Table1[[#This Row],[Gross Pay]]&gt;'Tax Tables'!$D$13,'Tax Tables'!$D$13*'Tax Tables'!$B$13,Table1[[#This Row],[Gross Pay]]*'Tax Tables'!$B$13)</f>
        <v>0</v>
      </c>
      <c r="M24" s="2">
        <f>Table1[[#This Row],[NSSA]]/2</f>
        <v>0</v>
      </c>
      <c r="N24" s="2">
        <f>Table1[[#This Row],[Gross Pay]]-Table1[[#This Row],[Trade Union]]-Table1[[#This Row],[NEC Employee]]-Table1[[#This Row],[NSSA Employee]]</f>
        <v>0</v>
      </c>
      <c r="O24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24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24" s="2">
        <f>Table1[[#This Row],[Taxable Income]]*Table1[[#This Row],[Tax Rate]]-(Table1[[#This Row],[Deduction]])</f>
        <v>0</v>
      </c>
      <c r="R24" s="2">
        <f>Table1[[#This Row],[PAYE]]*'Tax Tables'!$B$11</f>
        <v>0</v>
      </c>
      <c r="S24" s="2">
        <f>Table1[[#This Row],[PAYE]]+Table1[[#This Row],[AIDS Levy]]</f>
        <v>0</v>
      </c>
      <c r="T24" s="2">
        <f>Table1[[#This Row],[PAYE]]+Table1[[#This Row],[AIDS Levy]]+Table1[[#This Row],[NSSA Employee]]+Table1[[#This Row],[NEC Employee]]</f>
        <v>0</v>
      </c>
      <c r="U24" s="2">
        <f>Table1[[#This Row],[Taxable Income]]-Table1[[#This Row],[PAYE ZIMRA]]+Table1[[#This Row],[Yearly Bonus]]+Table1[[#This Row],[Bonus]]</f>
        <v>0</v>
      </c>
      <c r="V24" s="2">
        <v>0</v>
      </c>
      <c r="W24" s="2">
        <f>Table1[[#This Row],[Net Pay]]-Table1[[#This Row],[Advance Deductions]]</f>
        <v>0</v>
      </c>
    </row>
    <row r="25" spans="1:23" x14ac:dyDescent="0.3">
      <c r="A25" s="12"/>
      <c r="B25" s="12"/>
      <c r="C25" s="13" t="b">
        <v>0</v>
      </c>
      <c r="D25" s="12"/>
      <c r="E25" s="14"/>
      <c r="F25" s="14"/>
      <c r="G25" s="7"/>
      <c r="H25" s="11">
        <f>Table1[[#This Row],[Gross Pay]]*'Tax Tables'!$B$16</f>
        <v>0</v>
      </c>
      <c r="I25" s="11">
        <f>Table1[[#This Row],[Gross Pay]]*'Tax Tables'!$B$15</f>
        <v>0</v>
      </c>
      <c r="J25" s="11" t="str">
        <f>IF(Table1[[#This Row],[NEC Eligibility]]=TRUE,Table1[[#This Row],[Gross Pay]]*'Tax Tables'!$B$14,"")</f>
        <v/>
      </c>
      <c r="K25" s="11" t="str">
        <f>IFERROR(Table1[[#This Row],[NEC]]/2,"0")</f>
        <v>0</v>
      </c>
      <c r="L25" s="11">
        <f>IF(Table1[[#This Row],[Gross Pay]]&gt;'Tax Tables'!$D$13,'Tax Tables'!$D$13*'Tax Tables'!$B$13,Table1[[#This Row],[Gross Pay]]*'Tax Tables'!$B$13)</f>
        <v>0</v>
      </c>
      <c r="M25" s="11">
        <f>Table1[[#This Row],[NSSA]]/2</f>
        <v>0</v>
      </c>
      <c r="N25" s="11">
        <f>Table1[[#This Row],[Gross Pay]]-Table1[[#This Row],[Trade Union]]-Table1[[#This Row],[NEC Employee]]-Table1[[#This Row],[NSSA Employee]]</f>
        <v>0</v>
      </c>
      <c r="O25" s="15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25" s="12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25" s="11">
        <f>Table1[[#This Row],[Taxable Income]]*Table1[[#This Row],[Tax Rate]]-(Table1[[#This Row],[Deduction]])</f>
        <v>0</v>
      </c>
      <c r="R25" s="11">
        <f>Table1[[#This Row],[PAYE]]*'Tax Tables'!$B$11</f>
        <v>0</v>
      </c>
      <c r="S25" s="11">
        <f>Table1[[#This Row],[PAYE]]+Table1[[#This Row],[AIDS Levy]]</f>
        <v>0</v>
      </c>
      <c r="T25" s="11">
        <f>Table1[[#This Row],[PAYE]]+Table1[[#This Row],[AIDS Levy]]+Table1[[#This Row],[NSSA Employee]]+Table1[[#This Row],[NEC Employee]]</f>
        <v>0</v>
      </c>
      <c r="U25" s="11">
        <f>Table1[[#This Row],[Taxable Income]]-Table1[[#This Row],[PAYE ZIMRA]]+Table1[[#This Row],[Yearly Bonus]]+Table1[[#This Row],[Bonus]]</f>
        <v>0</v>
      </c>
      <c r="V25" s="2">
        <v>0</v>
      </c>
      <c r="W25" s="2">
        <f>Table1[[#This Row],[Net Pay]]-Table1[[#This Row],[Advance Deductions]]</f>
        <v>0</v>
      </c>
    </row>
    <row r="26" spans="1:23" x14ac:dyDescent="0.3">
      <c r="C26" s="8" t="b">
        <v>1</v>
      </c>
      <c r="E26" s="7"/>
      <c r="F26" s="7"/>
      <c r="G26" s="7"/>
      <c r="H26" s="2">
        <f>Table1[[#This Row],[Gross Pay]]*'Tax Tables'!$B$16</f>
        <v>0</v>
      </c>
      <c r="I26" s="2">
        <f>Table1[[#This Row],[Gross Pay]]*'Tax Tables'!$B$15</f>
        <v>0</v>
      </c>
      <c r="J26" s="2">
        <f>IF(Table1[[#This Row],[NEC Eligibility]]=TRUE,Table1[[#This Row],[Gross Pay]]*'Tax Tables'!$B$14,"")</f>
        <v>0</v>
      </c>
      <c r="K26" s="2">
        <f>IFERROR(Table1[[#This Row],[NEC]]/2,"0")</f>
        <v>0</v>
      </c>
      <c r="L26" s="2">
        <f>IF(Table1[[#This Row],[Gross Pay]]&gt;'Tax Tables'!$D$13,'Tax Tables'!$D$13*'Tax Tables'!$B$13,Table1[[#This Row],[Gross Pay]]*'Tax Tables'!$B$13)</f>
        <v>0</v>
      </c>
      <c r="M26" s="2">
        <f>Table1[[#This Row],[NSSA]]/2</f>
        <v>0</v>
      </c>
      <c r="N26" s="2">
        <f>Table1[[#This Row],[Gross Pay]]-Table1[[#This Row],[Trade Union]]-Table1[[#This Row],[NEC Employee]]-Table1[[#This Row],[NSSA Employee]]</f>
        <v>0</v>
      </c>
      <c r="O26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26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26" s="2">
        <f>Table1[[#This Row],[Taxable Income]]*Table1[[#This Row],[Tax Rate]]-(Table1[[#This Row],[Deduction]])</f>
        <v>0</v>
      </c>
      <c r="R26" s="2">
        <f>Table1[[#This Row],[PAYE]]*'Tax Tables'!$B$11</f>
        <v>0</v>
      </c>
      <c r="S26" s="2">
        <f>Table1[[#This Row],[PAYE]]+Table1[[#This Row],[AIDS Levy]]</f>
        <v>0</v>
      </c>
      <c r="T26" s="2">
        <f>Table1[[#This Row],[PAYE]]+Table1[[#This Row],[AIDS Levy]]+Table1[[#This Row],[NSSA Employee]]+Table1[[#This Row],[NEC Employee]]</f>
        <v>0</v>
      </c>
      <c r="U26" s="2">
        <f>Table1[[#This Row],[Taxable Income]]-Table1[[#This Row],[PAYE ZIMRA]]+Table1[[#This Row],[Yearly Bonus]]+Table1[[#This Row],[Bonus]]</f>
        <v>0</v>
      </c>
      <c r="V26" s="2">
        <v>0</v>
      </c>
      <c r="W26" s="2">
        <f>Table1[[#This Row],[Net Pay]]-Table1[[#This Row],[Advance Deductions]]</f>
        <v>0</v>
      </c>
    </row>
    <row r="27" spans="1:23" x14ac:dyDescent="0.3">
      <c r="C27" s="8" t="b">
        <v>1</v>
      </c>
      <c r="E27" s="7"/>
      <c r="F27" s="7"/>
      <c r="G27" s="7"/>
      <c r="H27" s="2">
        <f>Table1[[#This Row],[Gross Pay]]*'Tax Tables'!$B$16</f>
        <v>0</v>
      </c>
      <c r="I27" s="2">
        <f>Table1[[#This Row],[Gross Pay]]*'Tax Tables'!$B$15</f>
        <v>0</v>
      </c>
      <c r="J27" s="2">
        <f>IF(Table1[[#This Row],[NEC Eligibility]]=TRUE,Table1[[#This Row],[Gross Pay]]*'Tax Tables'!$B$14,"")</f>
        <v>0</v>
      </c>
      <c r="K27" s="2">
        <f>IFERROR(Table1[[#This Row],[NEC]]/2,"0")</f>
        <v>0</v>
      </c>
      <c r="L27" s="2">
        <f>IF(Table1[[#This Row],[Gross Pay]]&gt;'Tax Tables'!$D$13,'Tax Tables'!$D$13*'Tax Tables'!$B$13,Table1[[#This Row],[Gross Pay]]*'Tax Tables'!$B$13)</f>
        <v>0</v>
      </c>
      <c r="M27" s="2">
        <f>Table1[[#This Row],[NSSA]]/2</f>
        <v>0</v>
      </c>
      <c r="N27" s="2">
        <f>Table1[[#This Row],[Gross Pay]]-Table1[[#This Row],[Trade Union]]-Table1[[#This Row],[NEC Employee]]-Table1[[#This Row],[NSSA Employee]]</f>
        <v>0</v>
      </c>
      <c r="O27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27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27" s="2">
        <f>Table1[[#This Row],[Taxable Income]]*Table1[[#This Row],[Tax Rate]]-(Table1[[#This Row],[Deduction]])</f>
        <v>0</v>
      </c>
      <c r="R27" s="2">
        <f>Table1[[#This Row],[PAYE]]*'Tax Tables'!$B$11</f>
        <v>0</v>
      </c>
      <c r="S27" s="2">
        <f>Table1[[#This Row],[PAYE]]+Table1[[#This Row],[AIDS Levy]]</f>
        <v>0</v>
      </c>
      <c r="T27" s="2">
        <f>Table1[[#This Row],[PAYE]]+Table1[[#This Row],[AIDS Levy]]+Table1[[#This Row],[NSSA Employee]]+Table1[[#This Row],[NEC Employee]]</f>
        <v>0</v>
      </c>
      <c r="U27" s="2">
        <f>Table1[[#This Row],[Taxable Income]]-Table1[[#This Row],[PAYE ZIMRA]]+Table1[[#This Row],[Yearly Bonus]]+Table1[[#This Row],[Bonus]]</f>
        <v>0</v>
      </c>
      <c r="V27" s="2">
        <v>0</v>
      </c>
      <c r="W27" s="2">
        <f>Table1[[#This Row],[Net Pay]]-Table1[[#This Row],[Advance Deductions]]</f>
        <v>0</v>
      </c>
    </row>
    <row r="28" spans="1:23" x14ac:dyDescent="0.3">
      <c r="C28" s="8" t="b">
        <v>1</v>
      </c>
      <c r="E28" s="7"/>
      <c r="F28" s="7"/>
      <c r="G28" s="7"/>
      <c r="H28" s="2">
        <f>Table1[[#This Row],[Gross Pay]]*'Tax Tables'!$B$16</f>
        <v>0</v>
      </c>
      <c r="I28" s="2">
        <f>Table1[[#This Row],[Gross Pay]]*'Tax Tables'!$B$15</f>
        <v>0</v>
      </c>
      <c r="J28" s="2">
        <f>IF(Table1[[#This Row],[NEC Eligibility]]=TRUE,Table1[[#This Row],[Gross Pay]]*'Tax Tables'!$B$14,"")</f>
        <v>0</v>
      </c>
      <c r="K28" s="2">
        <f>IFERROR(Table1[[#This Row],[NEC]]/2,"0")</f>
        <v>0</v>
      </c>
      <c r="L28" s="2">
        <f>IF(Table1[[#This Row],[Gross Pay]]&gt;'Tax Tables'!$D$13,'Tax Tables'!$D$13*'Tax Tables'!$B$13,Table1[[#This Row],[Gross Pay]]*'Tax Tables'!$B$13)</f>
        <v>0</v>
      </c>
      <c r="M28" s="2">
        <f>Table1[[#This Row],[NSSA]]/2</f>
        <v>0</v>
      </c>
      <c r="N28" s="2">
        <f>Table1[[#This Row],[Gross Pay]]-Table1[[#This Row],[Trade Union]]-Table1[[#This Row],[NEC Employee]]-Table1[[#This Row],[NSSA Employee]]</f>
        <v>0</v>
      </c>
      <c r="O28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28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28" s="2">
        <f>Table1[[#This Row],[Taxable Income]]*Table1[[#This Row],[Tax Rate]]-(Table1[[#This Row],[Deduction]])</f>
        <v>0</v>
      </c>
      <c r="R28" s="2">
        <f>Table1[[#This Row],[PAYE]]*'Tax Tables'!$B$11</f>
        <v>0</v>
      </c>
      <c r="S28" s="2">
        <f>Table1[[#This Row],[PAYE]]+Table1[[#This Row],[AIDS Levy]]</f>
        <v>0</v>
      </c>
      <c r="T28" s="2">
        <f>Table1[[#This Row],[PAYE]]+Table1[[#This Row],[AIDS Levy]]+Table1[[#This Row],[NSSA Employee]]+Table1[[#This Row],[NEC Employee]]</f>
        <v>0</v>
      </c>
      <c r="U28" s="2">
        <f>Table1[[#This Row],[Taxable Income]]-Table1[[#This Row],[PAYE ZIMRA]]+Table1[[#This Row],[Yearly Bonus]]+Table1[[#This Row],[Bonus]]</f>
        <v>0</v>
      </c>
      <c r="V28" s="2">
        <v>0</v>
      </c>
      <c r="W28" s="2">
        <f>Table1[[#This Row],[Net Pay]]-Table1[[#This Row],[Advance Deductions]]</f>
        <v>0</v>
      </c>
    </row>
    <row r="29" spans="1:23" x14ac:dyDescent="0.3">
      <c r="C29" s="8" t="b">
        <v>1</v>
      </c>
      <c r="E29" s="7"/>
      <c r="F29" s="7"/>
      <c r="G29" s="7"/>
      <c r="H29" s="2">
        <f>Table1[[#This Row],[Gross Pay]]*'Tax Tables'!$B$16</f>
        <v>0</v>
      </c>
      <c r="I29" s="2">
        <f>Table1[[#This Row],[Gross Pay]]*'Tax Tables'!$B$15</f>
        <v>0</v>
      </c>
      <c r="J29" s="2">
        <f>IF(Table1[[#This Row],[NEC Eligibility]]=TRUE,Table1[[#This Row],[Gross Pay]]*'Tax Tables'!$B$14,"")</f>
        <v>0</v>
      </c>
      <c r="K29" s="2">
        <f>IFERROR(Table1[[#This Row],[NEC]]/2,"0")</f>
        <v>0</v>
      </c>
      <c r="L29" s="2">
        <f>IF(Table1[[#This Row],[Gross Pay]]&gt;'Tax Tables'!$D$13,'Tax Tables'!$D$13*'Tax Tables'!$B$13,Table1[[#This Row],[Gross Pay]]*'Tax Tables'!$B$13)</f>
        <v>0</v>
      </c>
      <c r="M29" s="2">
        <f>Table1[[#This Row],[NSSA]]/2</f>
        <v>0</v>
      </c>
      <c r="N29" s="2">
        <f>Table1[[#This Row],[Gross Pay]]-Table1[[#This Row],[Trade Union]]-Table1[[#This Row],[NEC Employee]]-Table1[[#This Row],[NSSA Employee]]</f>
        <v>0</v>
      </c>
      <c r="O29" s="4">
        <f>IF(Table1[[#This Row],[Taxable Income]]&lt;='Tax Tables'!$B$3,'Tax Tables'!$C$3,IF(Table1[[#This Row],[Taxable Income]]&lt;='Tax Tables'!$B$4,'Tax Tables'!$C$4,IF(Table1[[#This Row],[Taxable Income]]&lt;='Tax Tables'!$B$5,'Tax Tables'!$C$5,IF(Table1[[#This Row],[Taxable Income]]&lt;='Tax Tables'!$B$6,'Tax Tables'!$C$6,IF(Table1[[#This Row],[Taxable Income]]&lt;='Tax Tables'!$B$7,'Tax Tables'!$C$7,IF(Table1[[#This Row],[Taxable Income]]&gt;='Tax Tables'!$A$8,'Tax Tables'!$C$8))))))</f>
        <v>0</v>
      </c>
      <c r="P29">
        <f>IF(Table1[[#This Row],[Tax Rate]]='Tax Tables'!$C$3,'Tax Tables'!$D$3,IF(Table1[[#This Row],[Tax Rate]]='Tax Tables'!$C$4,'Tax Tables'!$D$4,IF(Table1[[#This Row],[Tax Rate]]='Tax Tables'!$C$5,'Tax Tables'!$D$5,IF(Table1[[#This Row],[Tax Rate]]='Tax Tables'!$C$6,'Tax Tables'!$D$6,IF(Table1[[#This Row],[Tax Rate]]='Tax Tables'!$C$7,'Tax Tables'!$D$7,IF(Table1[[#This Row],[Tax Rate]]='Tax Tables'!$C$8,'Tax Tables'!$D$8))))))</f>
        <v>0</v>
      </c>
      <c r="Q29" s="2">
        <f>Table1[[#This Row],[Taxable Income]]*Table1[[#This Row],[Tax Rate]]-(Table1[[#This Row],[Deduction]])</f>
        <v>0</v>
      </c>
      <c r="R29" s="2">
        <f>Table1[[#This Row],[PAYE]]*'Tax Tables'!$B$11</f>
        <v>0</v>
      </c>
      <c r="S29" s="2">
        <f>Table1[[#This Row],[PAYE]]+Table1[[#This Row],[AIDS Levy]]</f>
        <v>0</v>
      </c>
      <c r="T29" s="2">
        <f>Table1[[#This Row],[PAYE]]+Table1[[#This Row],[AIDS Levy]]+Table1[[#This Row],[NSSA Employee]]+Table1[[#This Row],[NEC Employee]]</f>
        <v>0</v>
      </c>
      <c r="U29" s="2">
        <f>Table1[[#This Row],[Taxable Income]]-Table1[[#This Row],[PAYE ZIMRA]]+Table1[[#This Row],[Yearly Bonus]]+Table1[[#This Row],[Bonus]]</f>
        <v>0</v>
      </c>
      <c r="V29" s="2">
        <v>0</v>
      </c>
      <c r="W29" s="2">
        <f>Table1[[#This Row],[Net Pay]]-Table1[[#This Row],[Advance Deductions]]</f>
        <v>0</v>
      </c>
    </row>
    <row r="30" spans="1:23" x14ac:dyDescent="0.3">
      <c r="E30" s="2">
        <f>SUBTOTAL(109,Table1[Gross Pay])</f>
        <v>1200</v>
      </c>
      <c r="F30" s="2">
        <f>SUBTOTAL(109,Table1[Bonus])</f>
        <v>0</v>
      </c>
      <c r="G30" s="2">
        <f>SUBTOTAL(109,Table1[Yearly Bonus])</f>
        <v>0</v>
      </c>
      <c r="H30" s="2">
        <f>SUBTOTAL(109,Table1[WCIF])</f>
        <v>15</v>
      </c>
      <c r="I30" s="2">
        <f>SUBTOTAL(109,Table1[Trade Union])</f>
        <v>0</v>
      </c>
      <c r="J30" s="2">
        <f>SUBTOTAL(109,Table1[NEC])</f>
        <v>0</v>
      </c>
      <c r="K30" s="2">
        <f>SUBTOTAL(109,Table1[NEC Employee])</f>
        <v>0</v>
      </c>
      <c r="L30" s="2">
        <f>SUBTOTAL(109,Table1[NSSA])</f>
        <v>63</v>
      </c>
      <c r="M30" s="2">
        <f>SUBTOTAL(109,Table1[NSSA Employee])</f>
        <v>31.5</v>
      </c>
      <c r="N30" s="2">
        <f>SUBTOTAL(109,Table1[Taxable Income])</f>
        <v>1168.5</v>
      </c>
      <c r="O30" s="3"/>
      <c r="Q30" s="2">
        <f>SUBTOTAL(109,Table1[PAYE])</f>
        <v>265.55</v>
      </c>
      <c r="R30" s="2">
        <f>SUBTOTAL(109,Table1[AIDS Levy])</f>
        <v>7.9664999999999999</v>
      </c>
      <c r="S30" s="2">
        <f>SUBTOTAL(109,Table1[PAYE ZIMRA])</f>
        <v>273.51650000000001</v>
      </c>
      <c r="T30" s="2">
        <f>SUBTOTAL(109,Table1[Total Deductions])</f>
        <v>305.01650000000001</v>
      </c>
      <c r="U30" s="2">
        <f>SUBTOTAL(109,Table1[Net Pay])</f>
        <v>894.98350000000005</v>
      </c>
      <c r="W30" s="2">
        <f>SUBTOTAL(109,Table1[Net Pay after Deductions])</f>
        <v>894.98350000000005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FF13-6C5F-4991-8613-93A345AC0BE5}">
  <dimension ref="A1:D16"/>
  <sheetViews>
    <sheetView workbookViewId="0">
      <selection activeCell="B17" sqref="B17"/>
    </sheetView>
  </sheetViews>
  <sheetFormatPr defaultRowHeight="14.4" x14ac:dyDescent="0.3"/>
  <cols>
    <col min="1" max="2" width="9.88671875" bestFit="1" customWidth="1"/>
  </cols>
  <sheetData>
    <row r="1" spans="1:4" x14ac:dyDescent="0.3">
      <c r="A1" t="s">
        <v>7</v>
      </c>
    </row>
    <row r="3" spans="1:4" x14ac:dyDescent="0.3">
      <c r="A3" s="2">
        <v>0</v>
      </c>
      <c r="B3" s="2">
        <v>100</v>
      </c>
      <c r="C3" s="3">
        <v>0</v>
      </c>
      <c r="D3" s="2">
        <v>0</v>
      </c>
    </row>
    <row r="4" spans="1:4" x14ac:dyDescent="0.3">
      <c r="A4" s="2">
        <v>100.01</v>
      </c>
      <c r="B4" s="2">
        <v>300</v>
      </c>
      <c r="C4" s="3">
        <v>0.2</v>
      </c>
      <c r="D4" s="2">
        <v>20</v>
      </c>
    </row>
    <row r="5" spans="1:4" x14ac:dyDescent="0.3">
      <c r="A5" s="2">
        <v>300.01</v>
      </c>
      <c r="B5" s="2">
        <v>1000</v>
      </c>
      <c r="C5" s="3">
        <v>0.25</v>
      </c>
      <c r="D5" s="2">
        <v>35</v>
      </c>
    </row>
    <row r="6" spans="1:4" x14ac:dyDescent="0.3">
      <c r="A6" s="2">
        <v>1000.01</v>
      </c>
      <c r="B6" s="2">
        <v>2000</v>
      </c>
      <c r="C6" s="3">
        <v>0.3</v>
      </c>
      <c r="D6" s="2">
        <v>85</v>
      </c>
    </row>
    <row r="7" spans="1:4" x14ac:dyDescent="0.3">
      <c r="A7" s="2">
        <v>2000.01</v>
      </c>
      <c r="B7" s="2">
        <v>3000</v>
      </c>
      <c r="C7" s="3">
        <v>0.35</v>
      </c>
      <c r="D7" s="2">
        <v>185</v>
      </c>
    </row>
    <row r="8" spans="1:4" x14ac:dyDescent="0.3">
      <c r="A8" s="2">
        <v>3000.01</v>
      </c>
      <c r="B8" s="2"/>
      <c r="C8" s="3">
        <v>0.4</v>
      </c>
      <c r="D8" s="2">
        <v>335</v>
      </c>
    </row>
    <row r="11" spans="1:4" x14ac:dyDescent="0.3">
      <c r="A11" t="s">
        <v>5</v>
      </c>
      <c r="B11" s="3">
        <v>0.03</v>
      </c>
    </row>
    <row r="13" spans="1:4" x14ac:dyDescent="0.3">
      <c r="A13" t="s">
        <v>9</v>
      </c>
      <c r="B13" s="3">
        <v>0.09</v>
      </c>
      <c r="D13" s="2">
        <v>700</v>
      </c>
    </row>
    <row r="14" spans="1:4" x14ac:dyDescent="0.3">
      <c r="A14" t="s">
        <v>10</v>
      </c>
      <c r="B14" s="3">
        <v>0.02</v>
      </c>
    </row>
    <row r="15" spans="1:4" x14ac:dyDescent="0.3">
      <c r="A15" t="s">
        <v>11</v>
      </c>
      <c r="B15" s="3"/>
    </row>
    <row r="16" spans="1:4" x14ac:dyDescent="0.3">
      <c r="A16" t="s">
        <v>16</v>
      </c>
      <c r="B16" s="5">
        <v>1.2500000000000001E-2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E469-7838-4075-9A67-A2EEA2912534}">
  <dimension ref="C2:E20"/>
  <sheetViews>
    <sheetView workbookViewId="0">
      <selection activeCell="D13" sqref="D13"/>
    </sheetView>
  </sheetViews>
  <sheetFormatPr defaultRowHeight="14.4" x14ac:dyDescent="0.3"/>
  <cols>
    <col min="3" max="3" width="17.21875" bestFit="1" customWidth="1"/>
    <col min="4" max="5" width="13.77734375" customWidth="1"/>
  </cols>
  <sheetData>
    <row r="2" spans="3:5" x14ac:dyDescent="0.3">
      <c r="D2" s="1" t="s">
        <v>17</v>
      </c>
      <c r="E2" s="1" t="s">
        <v>18</v>
      </c>
    </row>
    <row r="3" spans="3:5" x14ac:dyDescent="0.3">
      <c r="C3" t="s">
        <v>12</v>
      </c>
      <c r="D3" s="9">
        <f>'Payroll Calculations '!E30</f>
        <v>1200</v>
      </c>
      <c r="E3" s="9"/>
    </row>
    <row r="4" spans="3:5" x14ac:dyDescent="0.3">
      <c r="C4" t="s">
        <v>25</v>
      </c>
      <c r="D4" s="9">
        <f>Table1[[#Totals],[Bonus]]+Table1[[#Totals],[Yearly Bonus]]</f>
        <v>0</v>
      </c>
      <c r="E4" s="9"/>
    </row>
    <row r="5" spans="3:5" x14ac:dyDescent="0.3">
      <c r="C5" t="s">
        <v>11</v>
      </c>
      <c r="D5" s="9"/>
      <c r="E5" s="9">
        <f>Table1[[#Totals],[Trade Union]]</f>
        <v>0</v>
      </c>
    </row>
    <row r="6" spans="3:5" x14ac:dyDescent="0.3">
      <c r="C6" t="s">
        <v>14</v>
      </c>
      <c r="D6" s="9"/>
      <c r="E6" s="9">
        <f>Table1[[#Totals],[NEC Employee]]</f>
        <v>0</v>
      </c>
    </row>
    <row r="7" spans="3:5" x14ac:dyDescent="0.3">
      <c r="C7" t="s">
        <v>15</v>
      </c>
      <c r="D7" s="9"/>
      <c r="E7" s="9">
        <f>Table1[[#Totals],[NSSA Employee]]</f>
        <v>31.5</v>
      </c>
    </row>
    <row r="8" spans="3:5" x14ac:dyDescent="0.3">
      <c r="C8" t="s">
        <v>4</v>
      </c>
      <c r="D8" s="9"/>
      <c r="E8" s="9">
        <f>Table1[[#Totals],[PAYE]]</f>
        <v>265.55</v>
      </c>
    </row>
    <row r="9" spans="3:5" x14ac:dyDescent="0.3">
      <c r="C9" t="s">
        <v>5</v>
      </c>
      <c r="D9" s="9"/>
      <c r="E9" s="9">
        <f>Table1[[#Totals],[AIDS Levy]]</f>
        <v>7.9664999999999999</v>
      </c>
    </row>
    <row r="10" spans="3:5" x14ac:dyDescent="0.3">
      <c r="C10" t="s">
        <v>6</v>
      </c>
      <c r="D10" s="9"/>
      <c r="E10" s="9">
        <f>Table1[[#Totals],[Net Pay]]</f>
        <v>894.98350000000005</v>
      </c>
    </row>
    <row r="11" spans="3:5" x14ac:dyDescent="0.3">
      <c r="D11" s="10">
        <f>SUM(D3:D10)</f>
        <v>1200</v>
      </c>
      <c r="E11" s="10">
        <f>SUM(E5:E10)</f>
        <v>1200</v>
      </c>
    </row>
    <row r="14" spans="3:5" x14ac:dyDescent="0.3">
      <c r="C14" s="1" t="s">
        <v>19</v>
      </c>
    </row>
    <row r="15" spans="3:5" x14ac:dyDescent="0.3">
      <c r="C15" t="s">
        <v>4</v>
      </c>
      <c r="D15" s="2">
        <f>Table1[[#Totals],[PAYE]]</f>
        <v>265.55</v>
      </c>
    </row>
    <row r="16" spans="3:5" x14ac:dyDescent="0.3">
      <c r="C16" t="s">
        <v>5</v>
      </c>
      <c r="D16" s="2">
        <f>Table1[[#Totals],[AIDS Levy]]</f>
        <v>7.9664999999999999</v>
      </c>
    </row>
    <row r="17" spans="3:4" x14ac:dyDescent="0.3">
      <c r="C17" t="s">
        <v>13</v>
      </c>
      <c r="D17" s="2">
        <f>Table1[[#Totals],[NEC]]</f>
        <v>0</v>
      </c>
    </row>
    <row r="18" spans="3:4" x14ac:dyDescent="0.3">
      <c r="C18" t="s">
        <v>9</v>
      </c>
      <c r="D18" s="2">
        <f>Table1[[#Totals],[NSSA]]</f>
        <v>63</v>
      </c>
    </row>
    <row r="19" spans="3:4" x14ac:dyDescent="0.3">
      <c r="C19" t="s">
        <v>16</v>
      </c>
      <c r="D19" s="2">
        <f>Table1[[#Totals],[WCIF]]</f>
        <v>15</v>
      </c>
    </row>
    <row r="20" spans="3:4" x14ac:dyDescent="0.3">
      <c r="D20" s="6">
        <f>SUM(D15:D19)</f>
        <v>351.51650000000001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Calculations </vt:lpstr>
      <vt:lpstr>Tax Tables</vt:lpstr>
      <vt:lpstr>Payroll Journals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wisdom muzambi</dc:creator>
  <cp:lastModifiedBy>wisdom muzambi</cp:lastModifiedBy>
  <dcterms:created xsi:type="dcterms:W3CDTF">2025-07-31T11:18:10Z</dcterms:created>
  <dcterms:modified xsi:type="dcterms:W3CDTF">2026-03-16T09:51:45Z</dcterms:modified>
</cp:coreProperties>
</file>